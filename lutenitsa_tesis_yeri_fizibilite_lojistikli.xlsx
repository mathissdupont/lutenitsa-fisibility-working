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3e8007fd3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LAVUZ" sheetId="1" r:id="R54027ee6dcca422f"/>
    <x:sheet xmlns:r="http://schemas.openxmlformats.org/officeDocument/2006/relationships" name="GIRDILER" sheetId="2" r:id="Rb2b70aa786fb43fe"/>
    <x:sheet xmlns:r="http://schemas.openxmlformats.org/officeDocument/2006/relationships" name="RECETE" sheetId="3" r:id="R8fba864c565e4920"/>
    <x:sheet xmlns:r="http://schemas.openxmlformats.org/officeDocument/2006/relationships" name="LOKASYON" sheetId="4" r:id="R251987e79cd9472e"/>
    <x:sheet xmlns:r="http://schemas.openxmlformats.org/officeDocument/2006/relationships" name="FINANS" sheetId="5" r:id="R2f951a8e9fe143f9"/>
    <x:sheet xmlns:r="http://schemas.openxmlformats.org/officeDocument/2006/relationships" name="FE401_MATRIS" sheetId="6" r:id="Rc46307304264422d"/>
    <x:sheet xmlns:r="http://schemas.openxmlformats.org/officeDocument/2006/relationships" name="HASSASIYET" sheetId="7" r:id="Re7f03b93c1b34109"/>
    <x:sheet xmlns:r="http://schemas.openxmlformats.org/officeDocument/2006/relationships" name="KAYNAKLAR" sheetId="8" r:id="R0d5616cddeba4ecb"/>
    <x:sheet xmlns:r="http://schemas.openxmlformats.org/officeDocument/2006/relationships" name="URETIM_2024" sheetId="9" r:id="R66064e852e0a46bf"/>
    <x:sheet xmlns:r="http://schemas.openxmlformats.org/officeDocument/2006/relationships" name="ALTYAPI" sheetId="10" r:id="Rdee19e238a2a4bdc"/>
    <x:sheet xmlns:r="http://schemas.openxmlformats.org/officeDocument/2006/relationships" name="LOJ_MESAFE" sheetId="11" r:id="R709dbe97e4b143d8"/>
    <x:sheet xmlns:r="http://schemas.openxmlformats.org/officeDocument/2006/relationships" name="LOJ_TEKLIF" sheetId="12" r:id="Rd6ffb08730084f9e"/>
    <x:sheet xmlns:r="http://schemas.openxmlformats.org/officeDocument/2006/relationships" name="LOJ_PARAM" sheetId="13" r:id="R409659300698447c"/>
    <x:sheet xmlns:r="http://schemas.openxmlformats.org/officeDocument/2006/relationships" name="LOJ_AKIS" sheetId="14" r:id="R65e0984d776a432d"/>
    <x:sheet xmlns:r="http://schemas.openxmlformats.org/officeDocument/2006/relationships" name="LOJ_SONUC" sheetId="15" r:id="R412f507d05ac4c23"/>
    <x:sheet xmlns:r="http://schemas.openxmlformats.org/officeDocument/2006/relationships" name="LOJ_KAYNAKLAR" sheetId="16" r:id="Rf0fbad8075dd467b"/>
    <x:sheet xmlns:r="http://schemas.openxmlformats.org/officeDocument/2006/relationships" name="LOJ_METOD" sheetId="17" r:id="R0de326e10337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;[Red](#,##0);-"/>
    <x:numFmt numFmtId="202" formatCode="#,##0.00;[Red](#,##0.00);-"/>
    <x:numFmt numFmtId="203" formatCode="#,##0.00"/>
    <x:numFmt numFmtId="204" formatCode="0.00%"/>
    <x:numFmt numFmtId="205" formatCode="0.000;[Red](0.000);-"/>
  </x:numFmts>
  <x:fonts count="12">
    <x:font>
      <x:sz val="11"/>
      <x:name val="Carlito"/>
    </x:font>
    <x:font>
      <x:b/>
      <x:sz val="15"/>
      <x:color rgb="FFFFFFFF"/>
      <x:name val="Carlito"/>
    </x:font>
    <x:font>
      <x:sz val="10"/>
      <x:color rgb="FF254A7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202C3C"/>
      <x:name val="Carlito"/>
    </x:font>
    <x:font>
      <x:b/>
      <x:sz val="11"/>
      <x:color rgb="FF254A77"/>
      <x:name val="Carlito"/>
    </x:font>
    <x:font>
      <x:i/>
      <x:sz val="11"/>
      <x:color rgb="FF17304F"/>
      <x:name val="Carlito"/>
    </x:font>
    <x:font>
      <x:sz val="11"/>
      <x:color rgb="FF245B94"/>
      <x:name val="Carlito"/>
    </x:font>
    <x:font>
      <x:sz val="11"/>
      <x:color rgb="FF008000"/>
      <x:name val="Carlito"/>
    </x:font>
    <x:font>
      <x:b/>
      <x:sz val="11"/>
      <x:color rgb="FF17304F"/>
      <x:name val="Carlito"/>
    </x:font>
    <x:font>
      <x:sz val="11"/>
      <x:color rgb="FF17304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2A45"/>
      </x:patternFill>
    </x:fill>
    <x:fill>
      <x:patternFill patternType="solid">
        <x:fgColor rgb="FFEAF0F6"/>
      </x:patternFill>
    </x:fill>
    <x:fill>
      <x:patternFill patternType="solid">
        <x:fgColor rgb="FF254A77"/>
      </x:patternFill>
    </x:fill>
    <x:fill>
      <x:patternFill patternType="solid">
        <x:fgColor rgb="FFFFF2CF"/>
      </x:patternFill>
    </x:fill>
    <x:fill>
      <x:patternFill patternType="solid">
        <x:fgColor rgb="FFE6F5ED"/>
      </x:patternFill>
    </x:fill>
    <x:fill>
      <x:patternFill patternType="solid">
        <x:fgColor rgb="FF17304F"/>
      </x:patternFill>
    </x:fill>
    <x:fill>
      <x:patternFill patternType="solid">
        <x:fgColor rgb="FFE8F3F4"/>
      </x:patternFill>
    </x:fill>
    <x:fill>
      <x:patternFill patternType="solid">
        <x:fgColor rgb="FFFFF2B0"/>
      </x:patternFill>
    </x:fill>
    <x:fill>
      <x:patternFill patternType="solid">
        <x:fgColor rgb="FFEEF2FB"/>
      </x:patternFill>
    </x:fill>
    <x:fill>
      <x:patternFill patternType="solid">
        <x:fgColor rgb="FFDDF0E8"/>
      </x:patternFill>
    </x:fill>
    <x:fill>
      <x:patternFill patternType="solid">
        <x:fgColor rgb="FFFFF0D9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2" fontId="4" fillId="5" borderId="0" xfId="0" applyNumberFormat="1" applyFont="1" applyFill="1" applyBorder="1"/>
    <x:xf numFmtId="202" fontId="0" fillId="0" borderId="0" xfId="0" applyNumberFormat="1" applyFont="1" applyFill="1" applyBorder="1"/>
    <x:xf numFmtId="202" fontId="5" fillId="6" borderId="0" xfId="0" applyNumberFormat="1" applyFont="1" applyFill="1" applyBorder="1"/>
    <x:xf numFmtId="202" fontId="3" fillId="4" borderId="0" xfId="0" applyNumberFormat="1" applyFont="1" applyFill="1" applyBorder="1"/>
    <x:xf numFmtId="202" fontId="4" fillId="5" borderId="1" xfId="0" applyNumberFormat="1" applyFont="1" applyFill="1" applyBorder="1"/>
    <x:xf numFmtId="202" fontId="0" fillId="0" borderId="1" xfId="0" applyNumberFormat="1" applyFont="1" applyFill="1" applyBorder="1"/>
    <x:xf numFmtId="202" fontId="5" fillId="6" borderId="1" xfId="0" applyNumberFormat="1" applyFont="1" applyFill="1" applyBorder="1"/>
    <x:xf numFmtId="202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5" fillId="6" borderId="0" xfId="0" applyNumberFormat="1" applyFont="1" applyFill="1" applyBorder="1"/>
    <x:xf numFmtId="201" fontId="0" fillId="6" borderId="1" xfId="0" applyNumberFormat="1" applyFont="1" applyFill="1" applyBorder="1"/>
    <x:xf numFmtId="201" fontId="5" fillId="6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201" fontId="4" fillId="0" borderId="0" xfId="0" applyNumberFormat="1" applyFont="1" applyFill="1" applyBorder="1"/>
    <x:xf numFmtId="201" fontId="4" fillId="9" borderId="0" xfId="0" applyNumberFormat="1" applyFont="1" applyFill="1" applyBorder="1"/>
    <x:xf numFmtId="0" fontId="8" fillId="0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9" fillId="0" borderId="0" xfId="0" applyNumberFormat="1" applyFont="1" applyFill="1" applyBorder="1"/>
    <x:xf numFmtId="202" fontId="4" fillId="9" borderId="0" xfId="0" applyNumberFormat="1" applyFont="1" applyFill="1" applyBorder="1"/>
    <x:xf numFmtId="202" fontId="9" fillId="0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2" fontId="4" fillId="10" borderId="0" xfId="0" applyNumberFormat="1" applyFont="1" applyFill="1" applyBorder="1"/>
    <x:xf numFmtId="205" fontId="0" fillId="0" borderId="0" xfId="0" applyNumberFormat="1" applyFont="1" applyFill="1" applyBorder="1"/>
    <x:xf numFmtId="201" fontId="0" fillId="11" borderId="0" xfId="0" applyNumberFormat="1" applyFont="1" applyFill="1" applyBorder="1"/>
    <x:xf numFmtId="201" fontId="1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f2a7338e74ed9" /><Relationship Type="http://schemas.openxmlformats.org/officeDocument/2006/relationships/theme" Target="/xl/theme/theme1.xml" Id="R5e9ff234b971432c" /><Relationship Type="http://schemas.openxmlformats.org/officeDocument/2006/relationships/sharedStrings" Target="/xl/sharedStrings.xml" Id="R3edf4296c44c4ef6" /><Relationship Type="http://schemas.openxmlformats.org/officeDocument/2006/relationships/worksheet" Target="/xl/worksheets/sheet1.xml" Id="R54027ee6dcca422f" /><Relationship Type="http://schemas.openxmlformats.org/officeDocument/2006/relationships/worksheet" Target="/xl/worksheets/sheet2.xml" Id="Rb2b70aa786fb43fe" /><Relationship Type="http://schemas.openxmlformats.org/officeDocument/2006/relationships/worksheet" Target="/xl/worksheets/sheet3.xml" Id="R8fba864c565e4920" /><Relationship Type="http://schemas.openxmlformats.org/officeDocument/2006/relationships/worksheet" Target="/xl/worksheets/sheet4.xml" Id="R251987e79cd9472e" /><Relationship Type="http://schemas.openxmlformats.org/officeDocument/2006/relationships/worksheet" Target="/xl/worksheets/sheet5.xml" Id="R2f951a8e9fe143f9" /><Relationship Type="http://schemas.openxmlformats.org/officeDocument/2006/relationships/worksheet" Target="/xl/worksheets/sheet6.xml" Id="Rc46307304264422d" /><Relationship Type="http://schemas.openxmlformats.org/officeDocument/2006/relationships/worksheet" Target="/xl/worksheets/sheet7.xml" Id="Re7f03b93c1b34109" /><Relationship Type="http://schemas.openxmlformats.org/officeDocument/2006/relationships/worksheet" Target="/xl/worksheets/sheet8.xml" Id="R0d5616cddeba4ecb" /><Relationship Type="http://schemas.openxmlformats.org/officeDocument/2006/relationships/worksheet" Target="/xl/worksheets/sheet9.xml" Id="R66064e852e0a46bf" /><Relationship Type="http://schemas.openxmlformats.org/officeDocument/2006/relationships/worksheet" Target="/xl/worksheets/sheet10.xml" Id="Rdee19e238a2a4bdc" /><Relationship Type="http://schemas.openxmlformats.org/officeDocument/2006/relationships/worksheet" Target="/xl/worksheets/sheet11.xml" Id="R709dbe97e4b143d8" /><Relationship Type="http://schemas.openxmlformats.org/officeDocument/2006/relationships/worksheet" Target="/xl/worksheets/sheet12.xml" Id="Rd6ffb08730084f9e" /><Relationship Type="http://schemas.openxmlformats.org/officeDocument/2006/relationships/worksheet" Target="/xl/worksheets/sheet13.xml" Id="R409659300698447c" /><Relationship Type="http://schemas.openxmlformats.org/officeDocument/2006/relationships/worksheet" Target="/xl/worksheets/sheet14.xml" Id="R65e0984d776a432d" /><Relationship Type="http://schemas.openxmlformats.org/officeDocument/2006/relationships/worksheet" Target="/xl/worksheets/sheet15.xml" Id="R412f507d05ac4c23" /><Relationship Type="http://schemas.openxmlformats.org/officeDocument/2006/relationships/worksheet" Target="/xl/worksheets/sheet16.xml" Id="Rf0fbad8075dd467b" /><Relationship Type="http://schemas.openxmlformats.org/officeDocument/2006/relationships/worksheet" Target="/xl/worksheets/sheet17.xml" Id="R0de326e10337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LÜTENİTSA | FİZİBİLİTE KONTROL PANELİ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10 ton/gün referans senaryo · 2026 TL sabit alım gücü · TASLAK, tedarikçi teklifi değildir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t="str">
        <x:v>Amaç</x:v>
      </x:c>
      <x:c r="B4" t="str">
        <x:v>Ekonomik değeri ve tesis kârlılığını karşılaştırmak</x:v>
      </x:c>
    </x:row>
    <x:row r="5">
      <x:c r="A5" t="str">
        <x:v>Kritik uyarı</x:v>
      </x:c>
      <x:c r="B5" t="str">
        <x:v>Sarı alan ve mavi sayılar TAMAMEN ÖRNEK VARSAYIMDIR, piyasa teklifi değildir.</x:v>
      </x:c>
    </x:row>
    <x:row r="6">
      <x:c r="A6" t="str">
        <x:v>Kaynaklı gerçek veri</x:v>
      </x:c>
      <x:c r="B6" t="str">
        <x:v>KAYNAKLAR sayfasındaki 2024 il üretimi ve OSB altyapı bilgileri.</x:v>
      </x:c>
    </x:row>
    <x:row r="7">
      <x:c r="A7" t="str">
        <x:v>Kapasite</x:v>
      </x:c>
      <x:c r="B7" t="str">
        <x:v>GIRDILER!B4 = fiilî günlük ürün çıkışı, yılda 250 eşdeğer tam kapasite günü</x:v>
      </x:c>
    </x:row>
    <x:row r="8">
      <x:c r="A8" t="str">
        <x:v>Reçete</x:v>
      </x:c>
      <x:c r="B8" t="str">
        <x:v>1 kg nihai ürün için brüt satın alınan malzeme ihtiyacı (pilot reçete varsayımı).</x:v>
      </x:c>
    </x:row>
    <x:row r="9">
      <x:c r="A9" t="str">
        <x:v>Yatırım yaklaşımı</x:v>
      </x:c>
      <x:c r="B9" t="str">
        <x:v>10 yıl NPV; aynı ürün, aynı satış fiyatı ve aynı üretim hacmi varsayılır.</x:v>
      </x:c>
    </x:row>
    <x:row r="10">
      <x:c r="A10" t="str">
        <x:v>Vergi / İskonto</x:v>
      </x:c>
      <x:c r="B10" t="str">
        <x:v>Hesap varsayımları; gerçek teşvik, vergi ve finansman esas alınmamıştır.</x:v>
      </x:c>
    </x:row>
    <x:row r="11">
      <x:c r="A11" t="str">
        <x:v>Maliyet varyasyonları</x:v>
      </x:c>
      <x:c r="B11" t="str">
        <x:v>LOKASYON sayfasındaki konumsal farklar saha teklifi değil, duyarlılık girdisi.</x:v>
      </x:c>
    </x:row>
    <x:row r="12">
      <x:c r="A12" t="str">
        <x:v>Regresyon</x:v>
      </x:c>
      <x:c r="B12" t="str">
        <x:v>11+ yıllık ilçe-ürün-zaman verisi toplanmadan geçerli regresyon kurulamaz.</x:v>
      </x:c>
    </x:row>
    <x:row r="13">
      <x:c r="A13" t="str">
        <x:v>Zorunlu eleme</x:v>
      </x:c>
      <x:c r="B13" t="str">
        <x:v>Gıda tesisi imarı, su kapasitesi/kalitesi, deşarj izni, zemin/afet, OSB faaliyet izni.</x:v>
      </x:c>
    </x:row>
    <x:row r="15" ht="24" customHeight="1">
      <x:c r="A15" s="11" t="str">
        <x:v>ANALİZ DEĞİŞKENLERİ</x:v>
      </x:c>
      <x:c r="B15" s="11" t="str">
        <x:v>Durum</x:v>
      </x:c>
    </x:row>
    <x:row r="16">
      <x:c r="A16" t="str">
        <x:v>2024 il üretim verileri</x:v>
      </x:c>
      <x:c r="B16" t="str">
        <x:v>DOĞRULANMIŞ / Resmî</x:v>
      </x:c>
    </x:row>
    <x:row r="17">
      <x:c r="A17" t="str">
        <x:v>2026 parsel uygunluğu</x:v>
      </x:c>
      <x:c r="B17" t="str">
        <x:v>TEYİT GEREKİYOR</x:v>
      </x:c>
    </x:row>
    <x:row r="18">
      <x:c r="A18" t="str">
        <x:v>Girdi fiyatları, lojistik, CAPEX</x:v>
      </x:c>
      <x:c r="B18" t="str">
        <x:v>SENARYO - DOĞRULANMADI</x:v>
      </x:c>
    </x:row>
    <x:row r="19">
      <x:c r="A19" t="str">
        <x:v>2025 ilçe tarımsal üretim veri seti</x:v>
      </x:c>
      <x:c r="B19" t="str">
        <x:v>BEKLENİYOR</x:v>
      </x:c>
    </x:row>
    <x:row r="22" ht="32" customHeight="1">
      <x:c r="A22" s="76" t="str">
        <x:v>YENI: LOJ_MESAFE / LOJ_TEKLIF / LOJ_PARAM / LOJ_AKIS / LOJ_SONUC / LOJ_KAYNAKLAR / LOJ_METOD sekmeleri.</x:v>
      </x:c>
      <x:c r="B22" s="76"/>
    </x:row>
    <x:row r="23" ht="32" customHeight="1">
      <x:c r="A23" s="76" t="str">
        <x:v>ONEMLI: LP AKIS atamalari senaryo sonucudur; yeni girdi icin optimize_logistics.py yeniden calistirilmalidir.</x:v>
      </x:c>
      <x:c r="B23" s="76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5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MODEL GİRDİLERİ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Sarı hücreler düzenlenebilir; fiyat, vergi ve iskonto oranları sadece örnek senaryodur.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t="str">
        <x:v>Günlük nihai üretim</x:v>
      </x:c>
      <x:c r="B4" s="15" t="n">
        <x:v>10</x:v>
      </x:c>
      <x:c r="C4" t="str">
        <x:v>ton/gün; fiilî ortalama</x:v>
      </x:c>
    </x:row>
    <x:row r="5">
      <x:c r="A5" t="str">
        <x:v>Yıllık eşdeğer üretim günü</x:v>
      </x:c>
      <x:c r="B5" s="15" t="n">
        <x:v>250</x:v>
      </x:c>
      <x:c r="C5" t="str">
        <x:v>gün/yıl</x:v>
      </x:c>
    </x:row>
    <x:row r="6">
      <x:c r="A6" t="str"/>
      <x:c r="B6" s="15" t="str"/>
      <x:c r="C6" t="str"/>
    </x:row>
    <x:row r="7">
      <x:c r="A7" t="str">
        <x:v>Net fabrika çıkış satış fiyatı</x:v>
      </x:c>
      <x:c r="B7" s="15" t="n">
        <x:v>135</x:v>
      </x:c>
      <x:c r="C7" t="str">
        <x:v>TL/kg · KDV hariç, temsili</x:v>
      </x:c>
    </x:row>
    <x:row r="8">
      <x:c r="A8" t="str">
        <x:v>Ambalaj / kapak / etiket / kolileme</x:v>
      </x:c>
      <x:c r="B8" s="15" t="n">
        <x:v>12</x:v>
      </x:c>
      <x:c r="C8" t="str">
        <x:v>TL/kavanoz; TEMSİLİ</x:v>
      </x:c>
    </x:row>
    <x:row r="9">
      <x:c r="A9" t="str">
        <x:v>Kavanoz net ürün miktarı</x:v>
      </x:c>
      <x:c r="B9" s="15" t="n">
        <x:v>0.5</x:v>
      </x:c>
      <x:c r="C9" t="str">
        <x:v>kg/kavanoz</x:v>
      </x:c>
    </x:row>
    <x:row r="10">
      <x:c r="A10" t="str">
        <x:v>Diğer değişken işleme maliyeti</x:v>
      </x:c>
      <x:c r="B10" s="15" t="n">
        <x:v>7</x:v>
      </x:c>
      <x:c r="C10" t="str">
        <x:v>TL/kg nihai ürün</x:v>
      </x:c>
    </x:row>
    <x:row r="11">
      <x:c r="A11" t="str">
        <x:v>Atık bertaraf ve fire yönetimi</x:v>
      </x:c>
      <x:c r="B11" s="15" t="n">
        <x:v>0.8</x:v>
      </x:c>
      <x:c r="C11" t="str">
        <x:v>TL/kg nihai ürün</x:v>
      </x:c>
    </x:row>
    <x:row r="12">
      <x:c r="A12" t="str">
        <x:v>Temsili vergi oranı</x:v>
      </x:c>
      <x:c r="B12" s="18" t="n">
        <x:v>0.25</x:v>
      </x:c>
      <x:c r="C12" t="str">
        <x:v>oran; gerçek rejim doğrulanmalı</x:v>
      </x:c>
    </x:row>
    <x:row r="13">
      <x:c r="A13" t="str">
        <x:v>Reel iskonto oranı</x:v>
      </x:c>
      <x:c r="B13" s="18" t="n">
        <x:v>0.12</x:v>
      </x:c>
      <x:c r="C13" t="str">
        <x:v>oran; sabit 2026 TL</x:v>
      </x:c>
    </x:row>
    <x:row r="14">
      <x:c r="A14" t="str">
        <x:v>Analiz süresi</x:v>
      </x:c>
      <x:c r="B14" s="15" t="n">
        <x:v>10</x:v>
      </x:c>
      <x:c r="C14" t="str">
        <x:v>yıl</x:v>
      </x:c>
    </x:row>
    <x:row r="15">
      <x:c r="A15" t="str">
        <x:v>Net işletme sermayesi</x:v>
      </x:c>
      <x:c r="B15" s="20" t="n">
        <x:v>20000000</x:v>
      </x:c>
      <x:c r="C15" t="str">
        <x:v>TL; başlangıçta bağlanır, sonda geri döner</x:v>
      </x:c>
    </x:row>
    <x:row r="16">
      <x:c r="A16" t="str">
        <x:v>Amortismana tabi CAPEX payı</x:v>
      </x:c>
      <x:c r="B16" s="18" t="n">
        <x:v>0.7</x:v>
      </x:c>
      <x:c r="C16" t="str">
        <x:v>oran; arazi ve ekipman ayrımı basitleştirilmiş</x:v>
      </x:c>
    </x:row>
    <x:row r="17">
      <x:c r="A17" t="str">
        <x:v>10. yıl sonunda geri kazanılan CAPEX</x:v>
      </x:c>
      <x:c r="B17" s="18" t="n">
        <x:v>0.2</x:v>
      </x:c>
      <x:c r="C17" t="str">
        <x:v>oran; basitleştirilmiş terminal varsayımı</x:v>
      </x:c>
    </x:row>
    <x:row r="18">
      <x:c r="A18" t="str">
        <x:v>Yıllık yenileme yatırımı</x:v>
      </x:c>
      <x:c r="B18" s="18" t="n">
        <x:v>0.01</x:v>
      </x:c>
      <x:c r="C18" t="str">
        <x:v>CAPEX oranı</x:v>
      </x:c>
    </x:row>
    <x:row r="19">
      <x:c r="A19" t="str"/>
      <x:c r="B19" s="18" t="n">
        <x:v>0.6</x:v>
      </x:c>
      <x:c r="C19" t="str"/>
    </x:row>
    <x:row r="20">
      <x:c r="A20" t="str">
        <x:v>Marmara pazar payı varsayımı</x:v>
      </x:c>
      <x:c r="B20" t="str"/>
      <x:c r="C20" t="str">
        <x:v>oransal talep payı - modele direkt bağlı değil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4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BRÜT REÇETE ve HAM MADDE MALİYETİ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Kg / kg nihai ürün: pilot reçete GEREKLİ; bu oranlar gerçek proses verimi yerine geçmez.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24" customHeight="1">
      <x:c r="A5" s="11" t="str">
        <x:v>Malzeme</x:v>
      </x:c>
      <x:c r="B5" s="11" t="str">
        <x:v>kg / 1 kg ürün</x:v>
      </x:c>
      <x:c r="C5" s="11" t="str">
        <x:v>Örnek TL/kg</x:v>
      </x:c>
      <x:c r="D5" s="11" t="str">
        <x:v>TL/1 kg ürün</x:v>
      </x:c>
      <x:c r="E5" s="11" t="str">
        <x:v>Birim</x:v>
      </x:c>
      <x:c r="F5" s="11" t="str">
        <x:v>Veri türü</x:v>
      </x:c>
      <x:c r="G5" s="11" t="str">
        <x:v>Not</x:v>
      </x:c>
    </x:row>
    <x:row r="6">
      <x:c r="A6" t="str">
        <x:v>Kırmızı kapya biber</x:v>
      </x:c>
      <x:c r="B6" s="26" t="n">
        <x:v>1.2</x:v>
      </x:c>
      <x:c r="C6" s="26" t="n">
        <x:v>18</x:v>
      </x:c>
      <x:c r="D6" s="27" t="n">
        <x:f>B6*C6</x:f>
        <x:v>21.599999999999998</x:v>
      </x:c>
      <x:c r="E6" t="str">
        <x:v>kg</x:v>
      </x:c>
      <x:c r="F6" t="str">
        <x:v>VARSAYIM</x:v>
      </x:c>
      <x:c r="G6" t="str">
        <x:v>Közleme ve ayıklama firesi dahil edilmeli</x:v>
      </x:c>
    </x:row>
    <x:row r="7">
      <x:c r="A7" t="str">
        <x:v>Salçalık domates</x:v>
      </x:c>
      <x:c r="B7" s="26" t="n">
        <x:v>0.85</x:v>
      </x:c>
      <x:c r="C7" s="26" t="n">
        <x:v>8</x:v>
      </x:c>
      <x:c r="D7" s="27" t="n">
        <x:f>B7*C7</x:f>
        <x:v>6.8</x:v>
      </x:c>
      <x:c r="E7" t="str">
        <x:v>kg</x:v>
      </x:c>
      <x:c r="F7" t="str">
        <x:v>VARSAYIM</x:v>
      </x:c>
      <x:c r="G7" t="str">
        <x:v>Brix ve evaporasyon sonucu etkiler</x:v>
      </x:c>
    </x:row>
    <x:row r="8">
      <x:c r="A8" t="str">
        <x:v>Patlıcan</x:v>
      </x:c>
      <x:c r="B8" s="26" t="n">
        <x:v>0.28</x:v>
      </x:c>
      <x:c r="C8" s="26" t="n">
        <x:v>16</x:v>
      </x:c>
      <x:c r="D8" s="27" t="n">
        <x:f>B8*C8</x:f>
        <x:v>4.48</x:v>
      </x:c>
      <x:c r="E8" t="str">
        <x:v>kg</x:v>
      </x:c>
      <x:c r="F8" t="str">
        <x:v>VARSAYIM</x:v>
      </x:c>
      <x:c r="G8" t="str">
        <x:v>Reçetede varsa, közleme firesi</x:v>
      </x:c>
    </x:row>
    <x:row r="9">
      <x:c r="A9" t="str">
        <x:v>Sarımsak</x:v>
      </x:c>
      <x:c r="B9" s="26" t="n">
        <x:v>0.04</x:v>
      </x:c>
      <x:c r="C9" s="26" t="n">
        <x:v>80</x:v>
      </x:c>
      <x:c r="D9" s="27" t="n">
        <x:f>B9*C9</x:f>
        <x:v>3.2</x:v>
      </x:c>
      <x:c r="E9" t="str">
        <x:v>kg</x:v>
      </x:c>
      <x:c r="F9" t="str">
        <x:v>VARSAYIM</x:v>
      </x:c>
      <x:c r="G9" t="str">
        <x:v>Kuru/taze ayrımı</x:v>
      </x:c>
    </x:row>
    <x:row r="10">
      <x:c r="A10" t="str">
        <x:v>Rafine ayçiçek yağı</x:v>
      </x:c>
      <x:c r="B10" s="26" t="n">
        <x:v>0.09</x:v>
      </x:c>
      <x:c r="C10" s="26" t="n">
        <x:v>65</x:v>
      </x:c>
      <x:c r="D10" s="27" t="n">
        <x:f>B10*C10</x:f>
        <x:v>5.85</x:v>
      </x:c>
      <x:c r="E10" t="str">
        <x:v>kg</x:v>
      </x:c>
      <x:c r="F10" t="str">
        <x:v>VARSAYIM</x:v>
      </x:c>
      <x:c r="G10" t="str">
        <x:v>Ayçiçeği tohumu fiyatı değil</x:v>
      </x:c>
    </x:row>
    <x:row r="11">
      <x:c r="A11" t="str">
        <x:v>Karışık baharat</x:v>
      </x:c>
      <x:c r="B11" s="26" t="n">
        <x:v>0.012</x:v>
      </x:c>
      <x:c r="C11" s="26" t="n">
        <x:v>140</x:v>
      </x:c>
      <x:c r="D11" s="27" t="n">
        <x:f>B11*C11</x:f>
        <x:v>1.68</x:v>
      </x:c>
      <x:c r="E11" t="str">
        <x:v>kg</x:v>
      </x:c>
      <x:c r="F11" t="str">
        <x:v>VARSAYIM</x:v>
      </x:c>
      <x:c r="G11" t="str">
        <x:v>İçeriği ayrı ayrı açılmalı</x:v>
      </x:c>
    </x:row>
    <x:row r="12">
      <x:c r="A12" t="str">
        <x:v>Tuz</x:v>
      </x:c>
      <x:c r="B12" s="26" t="n">
        <x:v>0.016</x:v>
      </x:c>
      <x:c r="C12" s="26" t="n">
        <x:v>8</x:v>
      </x:c>
      <x:c r="D12" s="27" t="n">
        <x:f>B12*C12</x:f>
        <x:v>0.128</x:v>
      </x:c>
      <x:c r="E12" t="str">
        <x:v>kg</x:v>
      </x:c>
      <x:c r="F12" t="str">
        <x:v>VARSAYIM</x:v>
      </x:c>
      <x:c r="G12" t="str"/>
    </x:row>
    <x:row r="13">
      <x:c r="A13" t="str">
        <x:v>Sirke</x:v>
      </x:c>
      <x:c r="B13" s="26" t="n">
        <x:v>0.025</x:v>
      </x:c>
      <x:c r="C13" s="26" t="n">
        <x:v>20</x:v>
      </x:c>
      <x:c r="D13" s="27" t="n">
        <x:f>B13*C13</x:f>
        <x:v>0.5</x:v>
      </x:c>
      <x:c r="E13" t="str">
        <x:v>kg</x:v>
      </x:c>
      <x:c r="F13" t="str">
        <x:v>VARSAYIM</x:v>
      </x:c>
      <x:c r="G13" t="str"/>
    </x:row>
    <x:row r="14">
      <x:c r="A14" s="23" t="str">
        <x:v>TOPLAM</x:v>
      </x:c>
      <x:c r="B14" s="28" t="n">
        <x:f>SUM(B6:B13)</x:f>
        <x:v>2.513</x:v>
      </x:c>
      <x:c r="C14" s="28"/>
      <x:c r="D14" s="28" t="n">
        <x:f>SUM(D6:D13)</x:f>
        <x:v>44.238</x:v>
      </x:c>
      <x:c r="E14" s="23"/>
      <x:c r="F14" s="23"/>
      <x:c r="G14" s="23"/>
    </x:row>
    <x:row r="15">
      <x:c r="B15" s="27"/>
      <x:c r="C15" s="27"/>
      <x:c r="D15" s="27"/>
    </x:row>
    <x:row r="16">
      <x:c r="A16" t="str">
        <x:v>Nominal nihai ürün kütlesi (kg)</x:v>
      </x:c>
      <x:c r="B16" s="27" t="n">
        <x:v>1</x:v>
      </x:c>
      <x:c r="C16" s="27"/>
      <x:c r="D16" s="27"/>
    </x:row>
    <x:row r="17">
      <x:c r="A17" t="str">
        <x:v>Net su buharlaşması + kayıplar (kg)</x:v>
      </x:c>
      <x:c r="B17" s="27" t="n">
        <x:f>B14-B16</x:f>
        <x:v>1.513</x:v>
      </x:c>
      <x:c r="C17" s="27"/>
      <x:c r="D17" s="27"/>
    </x:row>
    <x:row r="18">
      <x:c r="A18" t="str">
        <x:v>Yıllık nihai ürün (kg)</x:v>
      </x:c>
      <x:c r="B18" s="27" t="n">
        <x:f>GIRDILER!B4*GIRDILER!B5*1000</x:f>
        <x:v>2500000</x:v>
      </x:c>
      <x:c r="C18" s="27"/>
      <x:c r="D18" s="27"/>
    </x:row>
    <x:row r="19">
      <x:c r="A19" t="str">
        <x:v>Günlük biber girişi (kg)</x:v>
      </x:c>
      <x:c r="B19" s="27" t="n">
        <x:f>GIRDILER!B4*1000*B6</x:f>
        <x:v>12000</x:v>
      </x:c>
      <x:c r="C19" s="27"/>
      <x:c r="D19" s="27"/>
    </x:row>
    <x:row r="20">
      <x:c r="B20" s="27"/>
      <x:c r="C20" s="27"/>
      <x:c r="D20" s="27"/>
    </x:row>
    <x:row r="21">
      <x:c r="B21" s="27"/>
      <x:c r="C21" s="27"/>
      <x:c r="D21" s="27"/>
    </x:row>
    <x:row r="22" ht="24" customHeight="1">
      <x:c r="A22" s="11" t="str">
        <x:v>Malzeme</x:v>
      </x:c>
      <x:c r="B22" s="29" t="str">
        <x:v>Yıllık alım (ton)</x:v>
      </x:c>
      <x:c r="C22" s="29" t="str">
        <x:v>Yıllık maliyet (TL)</x:v>
      </x:c>
      <x:c r="D22" s="29" t="str">
        <x:v>Kaynak</x:v>
      </x:c>
    </x:row>
    <x:row r="23">
      <x:c r="A23" t="str">
        <x:f>A6</x:f>
        <x:v>Kırmızı kapya biber</x:v>
      </x:c>
      <x:c r="B23" s="27" t="n">
        <x:f>$B$18*B6/1000</x:f>
        <x:v>3000</x:v>
      </x:c>
      <x:c r="C23" s="27" t="n">
        <x:f>B23*1000*C6</x:f>
        <x:v>54000000</x:v>
      </x:c>
      <x:c r="D23" s="27" t="str">
        <x:v>Örnek/varsayım</x:v>
      </x:c>
    </x:row>
    <x:row r="24">
      <x:c r="A24" t="str">
        <x:f>A7</x:f>
        <x:v>Salçalık domates</x:v>
      </x:c>
      <x:c r="B24" s="27" t="n">
        <x:f>$B$18*B7/1000</x:f>
        <x:v>2125</x:v>
      </x:c>
      <x:c r="C24" s="27" t="n">
        <x:f>B24*1000*C7</x:f>
        <x:v>17000000</x:v>
      </x:c>
      <x:c r="D24" s="27" t="str">
        <x:v>Örnek/varsayım</x:v>
      </x:c>
    </x:row>
    <x:row r="25">
      <x:c r="A25" t="str">
        <x:f>A8</x:f>
        <x:v>Patlıcan</x:v>
      </x:c>
      <x:c r="B25" s="27" t="n">
        <x:f>$B$18*B8/1000</x:f>
        <x:v>700.0000000000001</x:v>
      </x:c>
      <x:c r="C25" s="27" t="n">
        <x:f>B25*1000*C8</x:f>
        <x:v>11200000.000000002</x:v>
      </x:c>
      <x:c r="D25" s="27" t="str">
        <x:v>Örnek/varsayım</x:v>
      </x:c>
    </x:row>
    <x:row r="26">
      <x:c r="A26" t="str">
        <x:f>A9</x:f>
        <x:v>Sarımsak</x:v>
      </x:c>
      <x:c r="B26" s="27" t="n">
        <x:f>$B$18*B9/1000</x:f>
        <x:v>100</x:v>
      </x:c>
      <x:c r="C26" s="27" t="n">
        <x:f>B26*1000*C9</x:f>
        <x:v>8000000</x:v>
      </x:c>
      <x:c r="D26" s="27" t="str">
        <x:v>Örnek/varsayım</x:v>
      </x:c>
    </x:row>
    <x:row r="27">
      <x:c r="A27" t="str">
        <x:f>A10</x:f>
        <x:v>Rafine ayçiçek yağı</x:v>
      </x:c>
      <x:c r="B27" s="27" t="n">
        <x:f>$B$18*B10/1000</x:f>
        <x:v>225</x:v>
      </x:c>
      <x:c r="C27" s="27" t="n">
        <x:f>B27*1000*C10</x:f>
        <x:v>14625000</x:v>
      </x:c>
      <x:c r="D27" s="27" t="str">
        <x:v>Örnek/varsayım</x:v>
      </x:c>
    </x:row>
    <x:row r="28">
      <x:c r="A28" t="str">
        <x:f>A11</x:f>
        <x:v>Karışık baharat</x:v>
      </x:c>
      <x:c r="B28" s="27" t="n">
        <x:f>$B$18*B11/1000</x:f>
        <x:v>30</x:v>
      </x:c>
      <x:c r="C28" s="27" t="n">
        <x:f>B28*1000*C11</x:f>
        <x:v>4200000</x:v>
      </x:c>
      <x:c r="D28" s="27" t="str">
        <x:v>Örnek/varsayım</x:v>
      </x:c>
    </x:row>
    <x:row r="29">
      <x:c r="A29" t="str">
        <x:f>A12</x:f>
        <x:v>Tuz</x:v>
      </x:c>
      <x:c r="B29" s="27" t="n">
        <x:f>$B$18*B12/1000</x:f>
        <x:v>40</x:v>
      </x:c>
      <x:c r="C29" s="27" t="n">
        <x:f>B29*1000*C12</x:f>
        <x:v>320000</x:v>
      </x:c>
      <x:c r="D29" s="27" t="str">
        <x:v>Örnek/varsayım</x:v>
      </x:c>
    </x:row>
    <x:row r="30">
      <x:c r="A30" t="str">
        <x:f>A13</x:f>
        <x:v>Sirke</x:v>
      </x:c>
      <x:c r="B30" s="27" t="n">
        <x:f>$B$18*B13/1000</x:f>
        <x:v>62.5</x:v>
      </x:c>
      <x:c r="C30" s="27" t="n">
        <x:f>B30*1000*C13</x:f>
        <x:v>1250000</x:v>
      </x:c>
      <x:c r="D30" s="27" t="str">
        <x:v>Örnek/varsayım</x:v>
      </x:c>
    </x:row>
    <x:row r="31">
      <x:c r="A31" s="23" t="str">
        <x:v>TOPLAM</x:v>
      </x:c>
      <x:c r="B31" s="28" t="n">
        <x:f>SUM(B23:B30)</x:f>
        <x:v>6282.5</x:v>
      </x:c>
      <x:c r="C31" s="28" t="n">
        <x:f>SUM(C23:C30)</x:f>
        <x:v>110595000</x:v>
      </x:c>
      <x:c r="D31" s="28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1" hidden="0" customWidth="1"/>
    <x:col min="11" max="11" width="4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KONUM BAZINDA MALİYET SENARYOLARI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TÜM TL değerleri temsili tahmindir, doğrulanmış OSB fiyatı / yatırım teklifi değildir.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48" customHeight="1">
      <x:c r="A5" s="11" t="str">
        <x:v>Aday OSB</x:v>
      </x:c>
      <x:c r="B5" s="34" t="str">
        <x:v>İlave hammadde TL/kg ürün</x:v>
      </x:c>
      <x:c r="C5" s="34" t="str">
        <x:v>Gelen lojistik TL/kg</x:v>
      </x:c>
      <x:c r="D5" s="34" t="str">
        <x:v>Giden lojistik TL/kg</x:v>
      </x:c>
      <x:c r="E5" s="34" t="str">
        <x:v>Su/enerji TL/kg</x:v>
      </x:c>
      <x:c r="F5" s="34" t="str">
        <x:v>İşçilik TL/yıl</x:v>
      </x:c>
      <x:c r="G5" s="34" t="str">
        <x:v>Satış+idare TL/yıl</x:v>
      </x:c>
      <x:c r="H5" s="34" t="str">
        <x:v>Diğer sabit TL/yıl</x:v>
      </x:c>
      <x:c r="I5" s="34" t="str">
        <x:v>İlk yatırım TL</x:v>
      </x:c>
      <x:c r="J5" s="11" t="str">
        <x:v>Veri durumu</x:v>
      </x:c>
      <x:c r="K5" s="11" t="str">
        <x:v>Resmî altyapı</x:v>
      </x:c>
    </x:row>
    <x:row r="6">
      <x:c r="A6" t="str">
        <x:v>Bursa-Mustafakemalpaşa</x:v>
      </x:c>
      <x:c r="B6" s="36" t="n">
        <x:v>0</x:v>
      </x:c>
      <x:c r="C6" s="36" t="n">
        <x:v>2.6</x:v>
      </x:c>
      <x:c r="D6" s="36" t="n">
        <x:v>3.8</x:v>
      </x:c>
      <x:c r="E6" s="36" t="n">
        <x:v>3.5</x:v>
      </x:c>
      <x:c r="F6" s="20" t="n">
        <x:v>18000000</x:v>
      </x:c>
      <x:c r="G6" s="20" t="n">
        <x:v>30000000</x:v>
      </x:c>
      <x:c r="H6" s="20" t="n">
        <x:v>5000000</x:v>
      </x:c>
      <x:c r="I6" s="20" t="n">
        <x:v>260000000</x:v>
      </x:c>
      <x:c r="J6" t="str">
        <x:v>SENARYO</x:v>
      </x:c>
      <x:c r="K6" t="str">
        <x:v>Su/d.gaz/elektrik/arıtma var</x:v>
      </x:c>
    </x:row>
    <x:row r="7">
      <x:c r="A7" t="str">
        <x:v>Manisa-Salihli</x:v>
      </x:c>
      <x:c r="B7" s="36" t="n">
        <x:v>1.2</x:v>
      </x:c>
      <x:c r="C7" s="36" t="n">
        <x:v>3.6</x:v>
      </x:c>
      <x:c r="D7" s="36" t="n">
        <x:v>4.4</x:v>
      </x:c>
      <x:c r="E7" s="36" t="n">
        <x:v>3.2</x:v>
      </x:c>
      <x:c r="F7" s="20" t="n">
        <x:v>17000000</x:v>
      </x:c>
      <x:c r="G7" s="20" t="n">
        <x:v>30000000</x:v>
      </x:c>
      <x:c r="H7" s="20" t="n">
        <x:v>5000000</x:v>
      </x:c>
      <x:c r="I7" s="20" t="n">
        <x:v>242000000</x:v>
      </x:c>
      <x:c r="J7" t="str">
        <x:v>SENARYO</x:v>
      </x:c>
      <x:c r="K7" t="str">
        <x:v>AAT kapasite artışı duyurusu</x:v>
      </x:c>
    </x:row>
    <x:row r="8">
      <x:c r="A8" t="str">
        <x:v>Balıkesir-Gönen</x:v>
      </x:c>
      <x:c r="B8" s="36" t="n">
        <x:v>0.7</x:v>
      </x:c>
      <x:c r="C8" s="36" t="n">
        <x:v>3.3</x:v>
      </x:c>
      <x:c r="D8" s="36" t="n">
        <x:v>3.9</x:v>
      </x:c>
      <x:c r="E8" s="36" t="n">
        <x:v>3.8</x:v>
      </x:c>
      <x:c r="F8" s="20" t="n">
        <x:v>17000000</x:v>
      </x:c>
      <x:c r="G8" s="20" t="n">
        <x:v>30000000</x:v>
      </x:c>
      <x:c r="H8" s="20" t="n">
        <x:v>5000000</x:v>
      </x:c>
      <x:c r="I8" s="20" t="n">
        <x:v>238000000</x:v>
      </x:c>
      <x:c r="J8" t="str">
        <x:v>SENARYO</x:v>
      </x:c>
      <x:c r="K8" t="str">
        <x:v>AAT 10000 m³/gün; su kuyuları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7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FİNANSAL KARŞILAŞTIRMA | EBITDA &amp; NPV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Sabit 2026 TL · 10 yıl, reel iskonto · tüm site maliyetleri varsayımsal; CAPEX ve fiyatlar TEKLİF DEĞİL.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49" customHeight="1">
      <x:c r="A5" s="34" t="str">
        <x:v>Aday</x:v>
      </x:c>
      <x:c r="B5" s="34" t="str">
        <x:v>Üretim kg/yıl</x:v>
      </x:c>
      <x:c r="C5" s="34" t="str">
        <x:v>Ciro TL/yıl</x:v>
      </x:c>
      <x:c r="D5" s="34" t="str">
        <x:v>Hammadde TL/yıl</x:v>
      </x:c>
      <x:c r="E5" s="34" t="str">
        <x:v>Ambalaj TL/yıl</x:v>
      </x:c>
      <x:c r="F5" s="34" t="str">
        <x:v>İşleme+atık TL/yıl</x:v>
      </x:c>
      <x:c r="G5" s="34" t="str">
        <x:v>Gelen+giden TL/yıl</x:v>
      </x:c>
      <x:c r="H5" s="34" t="str">
        <x:v>Enerji+su TL/yıl</x:v>
      </x:c>
      <x:c r="I5" s="34" t="str">
        <x:v>Yerel fiyat farkı TL/yıl</x:v>
      </x:c>
      <x:c r="J5" s="34" t="str">
        <x:v>Sabit gider TL/yıl</x:v>
      </x:c>
      <x:c r="K5" s="34" t="str">
        <x:v>EBITDA TL/yıl</x:v>
      </x:c>
      <x:c r="L5" s="34" t="str">
        <x:v>CAPEX TL</x:v>
      </x:c>
      <x:c r="M5" s="34" t="str">
        <x:v>Yıllık serbest nakit TL</x:v>
      </x:c>
      <x:c r="N5" s="34" t="str">
        <x:v>10 yıllık NPV TL</x:v>
      </x:c>
      <x:c r="O5" s="34" t="str">
        <x:v>EBITDA başabaş kg/yıl</x:v>
      </x:c>
      <x:c r="P5" s="34" t="str">
        <x:v>EBITDA marjı</x:v>
      </x:c>
    </x:row>
    <x:row r="6">
      <x:c r="A6" t="str">
        <x:f>LOKASYON!A6</x:f>
        <x:v>Bursa-Mustafakemalpaşa</x:v>
      </x:c>
      <x:c r="B6" s="38" t="n">
        <x:f>GIRDILER!$B$4*GIRDILER!$B$5*1000</x:f>
        <x:v>2500000</x:v>
      </x:c>
      <x:c r="C6" s="38" t="n">
        <x:f>B6*GIRDILER!$B$7</x:f>
        <x:v>337500000</x:v>
      </x:c>
      <x:c r="D6" s="38" t="n">
        <x:f>B6*RECETE!$D$14</x:f>
        <x:v>110595000</x:v>
      </x:c>
      <x:c r="E6" s="38" t="n">
        <x:f>B6*GIRDILER!$B$8/GIRDILER!$B$9</x:f>
        <x:v>60000000</x:v>
      </x:c>
      <x:c r="F6" s="38" t="n">
        <x:f>B6*(GIRDILER!$B$10+GIRDILER!$B$11)</x:f>
        <x:v>19500000</x:v>
      </x:c>
      <x:c r="G6" s="38" t="n">
        <x:f>B6*(LOKASYON!C6+LOKASYON!D6)</x:f>
        <x:v>16000000</x:v>
      </x:c>
      <x:c r="H6" s="38" t="n">
        <x:f>B6*LOKASYON!E6</x:f>
        <x:v>8750000</x:v>
      </x:c>
      <x:c r="I6" s="38" t="n">
        <x:f>B6*LOKASYON!B6</x:f>
        <x:v>0</x:v>
      </x:c>
      <x:c r="J6" s="38" t="n">
        <x:f>SUM(LOKASYON!F6:H6)</x:f>
        <x:v>53000000</x:v>
      </x:c>
      <x:c r="K6" s="43" t="n">
        <x:f>C6-SUM(D6:J6)</x:f>
        <x:v>69655000</x:v>
      </x:c>
      <x:c r="L6" s="38" t="n">
        <x:f>LOKASYON!I6</x:f>
        <x:v>260000000</x:v>
      </x:c>
      <x:c r="M6" s="38" t="n">
        <x:f>(K6-L6*GIRDILER!$B$16/GIRDILER!$B$14)*(1-GIRDILER!$B$12)+L6*GIRDILER!$B$16/GIRDILER!$B$14-L6*GIRDILER!$B$18</x:f>
        <x:v>54191250</x:v>
      </x:c>
      <x:c r="N6" s="43" t="n">
        <x:f>-L6-GIRDILER!$B$15+M6*(1-(1+GIRDILER!$B$13)^(-GIRDILER!$B$14))/GIRDILER!$B$13+(L6*GIRDILER!$B$17+GIRDILER!$B$15)/(1+GIRDILER!$B$13)^GIRDILER!$B$14</x:f>
        <x:v>49374721.72290046</x:v>
      </x:c>
      <x:c r="O6" s="38" t="n">
        <x:f>J6/(GIRDILER!$B$7-(RECETE!$D$14+GIRDILER!$B$8/GIRDILER!$B$9+GIRDILER!$B$10+GIRDILER!$B$11+LOKASYON!B6+LOKASYON!C6+LOKASYON!D6+LOKASYON!E6))</x:f>
        <x:v>1080265.7861481388</x:v>
      </x:c>
      <x:c r="P6" s="40" t="n">
        <x:f>K6/C6</x:f>
        <x:v>0.20638518518518517</x:v>
      </x:c>
    </x:row>
    <x:row r="7" ht="24" customHeight="1">
      <x:c r="A7" t="str">
        <x:f>LOKASYON!A7</x:f>
        <x:v>Manisa-Salihli</x:v>
      </x:c>
      <x:c r="B7" s="38" t="n">
        <x:f>GIRDILER!$B$4*GIRDILER!$B$5*1000</x:f>
        <x:v>2500000</x:v>
      </x:c>
      <x:c r="C7" s="38" t="n">
        <x:f>B7*GIRDILER!$B$7</x:f>
        <x:v>337500000</x:v>
      </x:c>
      <x:c r="D7" s="38" t="n">
        <x:f>B7*RECETE!$D$14</x:f>
        <x:v>110595000</x:v>
      </x:c>
      <x:c r="E7" s="38" t="n">
        <x:f>B7*GIRDILER!$B$8/GIRDILER!$B$9</x:f>
        <x:v>60000000</x:v>
      </x:c>
      <x:c r="F7" s="38" t="n">
        <x:f>B7*(GIRDILER!$B$10+GIRDILER!$B$11)</x:f>
        <x:v>19500000</x:v>
      </x:c>
      <x:c r="G7" s="38" t="n">
        <x:f>B7*(LOKASYON!C7+LOKASYON!D7)</x:f>
        <x:v>20000000</x:v>
      </x:c>
      <x:c r="H7" s="38" t="n">
        <x:f>B7*LOKASYON!E7</x:f>
        <x:v>8000000</x:v>
      </x:c>
      <x:c r="I7" s="38" t="n">
        <x:f>B7*LOKASYON!B7</x:f>
        <x:v>3000000</x:v>
      </x:c>
      <x:c r="J7" s="38" t="n">
        <x:f>SUM(LOKASYON!F7:H7)</x:f>
        <x:v>52000000</x:v>
      </x:c>
      <x:c r="K7" s="43" t="n">
        <x:f>C7-SUM(D7:J7)</x:f>
        <x:v>64405000</x:v>
      </x:c>
      <x:c r="L7" s="38" t="n">
        <x:f>LOKASYON!I7</x:f>
        <x:v>242000000</x:v>
      </x:c>
      <x:c r="M7" s="38" t="n">
        <x:f>(K7-L7*GIRDILER!$B$16/GIRDILER!$B$14)*(1-GIRDILER!$B$12)+L7*GIRDILER!$B$16/GIRDILER!$B$14-L7*GIRDILER!$B$18</x:f>
        <x:v>50118750</x:v>
      </x:c>
      <x:c r="N7" s="43" t="n">
        <x:f>-L7-GIRDILER!$B$15+M7*(1-(1+GIRDILER!$B$13)^(-GIRDILER!$B$14))/GIRDILER!$B$13+(L7*GIRDILER!$B$17+GIRDILER!$B$15)/(1+GIRDILER!$B$13)^GIRDILER!$B$14</x:f>
        <x:v>43205084.78797077</x:v>
      </x:c>
      <x:c r="O7" s="38" t="n">
        <x:f>J7/(GIRDILER!$B$7-(RECETE!$D$14+GIRDILER!$B$8/GIRDILER!$B$9+GIRDILER!$B$10+GIRDILER!$B$11+LOKASYON!B7+LOKASYON!C7+LOKASYON!D7+LOKASYON!E7))</x:f>
        <x:v>1116790.5158713115</x:v>
      </x:c>
      <x:c r="P7" s="40" t="n">
        <x:f>K7/C7</x:f>
        <x:v>0.19082962962962963</x:v>
      </x:c>
    </x:row>
    <x:row r="8" ht="24" customHeight="1">
      <x:c r="A8" t="str">
        <x:f>LOKASYON!A8</x:f>
        <x:v>Balıkesir-Gönen</x:v>
      </x:c>
      <x:c r="B8" s="38" t="n">
        <x:f>GIRDILER!$B$4*GIRDILER!$B$5*1000</x:f>
        <x:v>2500000</x:v>
      </x:c>
      <x:c r="C8" s="38" t="n">
        <x:f>B8*GIRDILER!$B$7</x:f>
        <x:v>337500000</x:v>
      </x:c>
      <x:c r="D8" s="38" t="n">
        <x:f>B8*RECETE!$D$14</x:f>
        <x:v>110595000</x:v>
      </x:c>
      <x:c r="E8" s="38" t="n">
        <x:f>B8*GIRDILER!$B$8/GIRDILER!$B$9</x:f>
        <x:v>60000000</x:v>
      </x:c>
      <x:c r="F8" s="38" t="n">
        <x:f>B8*(GIRDILER!$B$10+GIRDILER!$B$11)</x:f>
        <x:v>19500000</x:v>
      </x:c>
      <x:c r="G8" s="38" t="n">
        <x:f>B8*(LOKASYON!C8+LOKASYON!D8)</x:f>
        <x:v>18000000</x:v>
      </x:c>
      <x:c r="H8" s="38" t="n">
        <x:f>B8*LOKASYON!E8</x:f>
        <x:v>9500000</x:v>
      </x:c>
      <x:c r="I8" s="38" t="n">
        <x:f>B8*LOKASYON!B8</x:f>
        <x:v>1750000</x:v>
      </x:c>
      <x:c r="J8" s="38" t="n">
        <x:f>SUM(LOKASYON!F8:H8)</x:f>
        <x:v>52000000</x:v>
      </x:c>
      <x:c r="K8" s="43" t="n">
        <x:f>C8-SUM(D8:J8)</x:f>
        <x:v>66155000</x:v>
      </x:c>
      <x:c r="L8" s="38" t="n">
        <x:f>LOKASYON!I8</x:f>
        <x:v>238000000</x:v>
      </x:c>
      <x:c r="M8" s="38" t="n">
        <x:f>(K8-L8*GIRDILER!$B$16/GIRDILER!$B$14)*(1-GIRDILER!$B$12)+L8*GIRDILER!$B$16/GIRDILER!$B$14-L8*GIRDILER!$B$18</x:f>
        <x:v>51401250</x:v>
      </x:c>
      <x:c r="N8" s="43" t="n">
        <x:f>-L8-GIRDILER!$B$15+M8*(1-(1+GIRDILER!$B$13)^(-GIRDILER!$B$14))/GIRDILER!$B$13+(L8*GIRDILER!$B$17+GIRDILER!$B$15)/(1+GIRDILER!$B$13)^GIRDILER!$B$14</x:f>
        <x:v>54193917.232635126</x:v>
      </x:c>
      <x:c r="O8" s="38" t="n">
        <x:f>J8/(GIRDILER!$B$7-(RECETE!$D$14+GIRDILER!$B$8/GIRDILER!$B$9+GIRDILER!$B$10+GIRDILER!$B$11+LOKASYON!B8+LOKASYON!C8+LOKASYON!D8+LOKASYON!E8))</x:f>
        <x:v>1100249.672040963</x:v>
      </x:c>
      <x:c r="P8" s="40" t="n">
        <x:f>K8/C8</x:f>
        <x:v>0.1960148148148148</x:v>
      </x:c>
    </x:row>
    <x:row r="11" ht="24" customHeight="1">
      <x:c r="A11" s="11" t="str">
        <x:v>Model parametresi</x:v>
      </x:c>
      <x:c r="B11" s="11" t="str">
        <x:v>Not</x:v>
      </x:c>
    </x:row>
    <x:row r="12">
      <x:c r="A12" t="str">
        <x:v>EBITDA</x:v>
      </x:c>
      <x:c r="B12" t="str">
        <x:v>Faaliyet kazancı: vergi, faiz ve amortisman öncesi; net kâr değildir.</x:v>
      </x:c>
    </x:row>
    <x:row r="13">
      <x:c r="A13" t="str">
        <x:v>Yıllık serbest nakit</x:v>
      </x:c>
      <x:c r="B13" t="str">
        <x:v>Basitleştirilmiş vergi etkisi + amortisman kalkanı - yenileme CAPEX.</x:v>
      </x:c>
    </x:row>
    <x:row r="14">
      <x:c r="A14" t="str">
        <x:v>10 yıllık NPV</x:v>
      </x:c>
      <x:c r="B14" t="str">
        <x:v>İlk yatırım ve işletme sermayesi çıkışı + yıllık nakit + terminal değer.</x:v>
      </x:c>
    </x:row>
    <x:row r="15">
      <x:c r="A15" t="str">
        <x:v>Yatırım kararı</x:v>
      </x:c>
      <x:c r="B15" t="str">
        <x:v>Gerçek parsel ve fiyat teklifleri olmadan NPV sıralaması yatırım önerisi değildir.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56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FE401 | 12 KRİTERLİ KARAR MATRİSİ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1–5 puanlar UZMAN ÖN DEĞERLENDİRMESİ varsayımıdır; alan gerçeklerine dayalı nihai nesnel ölçüm değildir.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42" customHeight="1">
      <x:c r="A5" s="34" t="str">
        <x:v>FE401 kriteri</x:v>
      </x:c>
      <x:c r="B5" s="34" t="str">
        <x:v>Ağırlık %</x:v>
      </x:c>
      <x:c r="C5" s="34" t="str">
        <x:v>Bursa puan (1-5)</x:v>
      </x:c>
      <x:c r="D5" s="34" t="str">
        <x:v>Salihli puan (1-5)</x:v>
      </x:c>
      <x:c r="E5" s="34" t="str">
        <x:v>Gönen puan (1-5)</x:v>
      </x:c>
      <x:c r="F5" s="34" t="str">
        <x:v>Bursa /100 katkı</x:v>
      </x:c>
      <x:c r="G5" s="34" t="str">
        <x:v>Salihli /100 katkı</x:v>
      </x:c>
      <x:c r="H5" s="34" t="str">
        <x:v>Gönen /100 katkı</x:v>
      </x:c>
      <x:c r="I5" s="34" t="str">
        <x:v>Veri statüsü</x:v>
      </x:c>
    </x:row>
    <x:row r="6">
      <x:c r="A6" t="str">
        <x:v>1. Hammadde</x:v>
      </x:c>
      <x:c r="B6" s="15" t="n">
        <x:v>25</x:v>
      </x:c>
      <x:c r="C6" s="15" t="n">
        <x:v>4.6</x:v>
      </x:c>
      <x:c r="D6" s="15" t="n">
        <x:v>4</x:v>
      </x:c>
      <x:c r="E6" s="15" t="n">
        <x:v>3.7</x:v>
      </x:c>
      <x:c r="F6" t="n">
        <x:f>$B6*C6/5</x:f>
        <x:v>22.999999999999996</x:v>
      </x:c>
      <x:c r="G6" t="n">
        <x:f>$B6*D6/5</x:f>
        <x:v>20</x:v>
      </x:c>
      <x:c r="H6" t="n">
        <x:f>$B6*E6/5</x:f>
        <x:v>18.5</x:v>
      </x:c>
      <x:c r="I6" t="str">
        <x:v>2024 İL verisi + yoruma dayalı</x:v>
      </x:c>
    </x:row>
    <x:row r="7">
      <x:c r="A7" t="str">
        <x:v>2. Pazar erişimi</x:v>
      </x:c>
      <x:c r="B7" s="15" t="n">
        <x:v>15</x:v>
      </x:c>
      <x:c r="C7" s="15" t="n">
        <x:v>4.6</x:v>
      </x:c>
      <x:c r="D7" s="15" t="n">
        <x:v>4</x:v>
      </x:c>
      <x:c r="E7" s="15" t="n">
        <x:v>4.1</x:v>
      </x:c>
      <x:c r="F7" t="n">
        <x:f>$B7*C7/5</x:f>
        <x:v>13.8</x:v>
      </x:c>
      <x:c r="G7" t="n">
        <x:f>$B7*D7/5</x:f>
        <x:v>12</x:v>
      </x:c>
      <x:c r="H7" t="n">
        <x:f>$B7*E7/5</x:f>
        <x:v>12.299999999999999</x:v>
      </x:c>
      <x:c r="I7" t="str">
        <x:v>SATIŞ COĞRAFYASI varsayımı</x:v>
      </x:c>
    </x:row>
    <x:row r="8">
      <x:c r="A8" t="str">
        <x:v>3. Enerji</x:v>
      </x:c>
      <x:c r="B8" s="15" t="n">
        <x:v>10</x:v>
      </x:c>
      <x:c r="C8" s="15" t="n">
        <x:v>4</x:v>
      </x:c>
      <x:c r="D8" s="15" t="n">
        <x:v>4.2</x:v>
      </x:c>
      <x:c r="E8" s="15" t="n">
        <x:v>3.6</x:v>
      </x:c>
      <x:c r="F8" t="n">
        <x:f>$B8*C8/5</x:f>
        <x:v>8</x:v>
      </x:c>
      <x:c r="G8" t="n">
        <x:f>$B8*D8/5</x:f>
        <x:v>8.4</x:v>
      </x:c>
      <x:c r="H8" t="n">
        <x:f>$B8*E8/5</x:f>
        <x:v>7.2</x:v>
      </x:c>
      <x:c r="I8" t="str">
        <x:v>OSB varlığı, fiili tarifeler bilinmiyor</x:v>
      </x:c>
    </x:row>
    <x:row r="9">
      <x:c r="A9" t="str">
        <x:v>4. İklim</x:v>
      </x:c>
      <x:c r="B9" s="15" t="n">
        <x:v>4</x:v>
      </x:c>
      <x:c r="C9" s="15" t="n">
        <x:v>3.5</x:v>
      </x:c>
      <x:c r="D9" s="15" t="n">
        <x:v>3.3</x:v>
      </x:c>
      <x:c r="E9" s="15" t="n">
        <x:v>3.5</x:v>
      </x:c>
      <x:c r="F9" t="n">
        <x:f>$B9*C9/5</x:f>
        <x:v>2.8</x:v>
      </x:c>
      <x:c r="G9" t="n">
        <x:f>$B9*D9/5</x:f>
        <x:v>2.6399999999999997</x:v>
      </x:c>
      <x:c r="H9" t="n">
        <x:f>$B9*E9/5</x:f>
        <x:v>2.8</x:v>
      </x:c>
      <x:c r="I9" t="str">
        <x:v>iklim serisi elde edilmedi</x:v>
      </x:c>
    </x:row>
    <x:row r="10">
      <x:c r="A10" t="str">
        <x:v>5. Ulaşım</x:v>
      </x:c>
      <x:c r="B10" s="15" t="n">
        <x:v>13</x:v>
      </x:c>
      <x:c r="C10" s="15" t="n">
        <x:v>4.5</x:v>
      </x:c>
      <x:c r="D10" s="15" t="n">
        <x:v>4.1</x:v>
      </x:c>
      <x:c r="E10" s="15" t="n">
        <x:v>4</x:v>
      </x:c>
      <x:c r="F10" t="n">
        <x:f>$B10*C10/5</x:f>
        <x:v>11.7</x:v>
      </x:c>
      <x:c r="G10" t="n">
        <x:f>$B10*D10/5</x:f>
        <x:v>10.66</x:v>
      </x:c>
      <x:c r="H10" t="n">
        <x:f>$B10*E10/5</x:f>
        <x:v>10.4</x:v>
      </x:c>
      <x:c r="I10" t="str">
        <x:v>güzergah-km ve navlun teyit edilmeli</x:v>
      </x:c>
    </x:row>
    <x:row r="11">
      <x:c r="A11" t="str">
        <x:v>6. Su</x:v>
      </x:c>
      <x:c r="B11" s="15" t="n">
        <x:v>10</x:v>
      </x:c>
      <x:c r="C11" s="15" t="n">
        <x:v>3.5</x:v>
      </x:c>
      <x:c r="D11" s="15" t="n">
        <x:v>3.8</x:v>
      </x:c>
      <x:c r="E11" s="15" t="n">
        <x:v>3.8</x:v>
      </x:c>
      <x:c r="F11" t="n">
        <x:f>$B11*C11/5</x:f>
        <x:v>7</x:v>
      </x:c>
      <x:c r="G11" t="n">
        <x:f>$B11*D11/5</x:f>
        <x:v>7.6</x:v>
      </x:c>
      <x:c r="H11" t="n">
        <x:f>$B11*E11/5</x:f>
        <x:v>7.6</x:v>
      </x:c>
      <x:c r="I11" t="str">
        <x:v>OSB varlığı; tahsis edilebilir debi bilinmiyor</x:v>
      </x:c>
    </x:row>
    <x:row r="12">
      <x:c r="A12" t="str">
        <x:v>7. Atık yönetimi</x:v>
      </x:c>
      <x:c r="B12" s="15" t="n">
        <x:v>5</x:v>
      </x:c>
      <x:c r="C12" s="15" t="n">
        <x:v>3</x:v>
      </x:c>
      <x:c r="D12" s="15" t="n">
        <x:v>4.2</x:v>
      </x:c>
      <x:c r="E12" s="15" t="n">
        <x:v>3.5</x:v>
      </x:c>
      <x:c r="F12" t="n">
        <x:f>$B12*C12/5</x:f>
        <x:v>3</x:v>
      </x:c>
      <x:c r="G12" t="n">
        <x:f>$B12*D12/5</x:f>
        <x:v>4.2</x:v>
      </x:c>
      <x:c r="H12" t="n">
        <x:f>$B12*E12/5</x:f>
        <x:v>3.5</x:v>
      </x:c>
      <x:c r="I12" t="str">
        <x:v>OSB teknik açıklamaları, kapasite riski</x:v>
      </x:c>
    </x:row>
    <x:row r="13">
      <x:c r="A13" t="str">
        <x:v>8. İş gücü</x:v>
      </x:c>
      <x:c r="B13" s="15" t="n">
        <x:v>5</x:v>
      </x:c>
      <x:c r="C13" s="15" t="n">
        <x:v>4</x:v>
      </x:c>
      <x:c r="D13" s="15" t="n">
        <x:v>3.8</x:v>
      </x:c>
      <x:c r="E13" s="15" t="n">
        <x:v>3.8</x:v>
      </x:c>
      <x:c r="F13" t="n">
        <x:f>$B13*C13/5</x:f>
        <x:v>4</x:v>
      </x:c>
      <x:c r="G13" t="n">
        <x:f>$B13*D13/5</x:f>
        <x:v>3.8</x:v>
      </x:c>
      <x:c r="H13" t="n">
        <x:f>$B13*E13/5</x:f>
        <x:v>3.8</x:v>
      </x:c>
      <x:c r="I13" t="str">
        <x:v>işçi arz ve ücret anketi eksik</x:v>
      </x:c>
    </x:row>
    <x:row r="14">
      <x:c r="A14" t="str">
        <x:v>9. Vergi/izin</x:v>
      </x:c>
      <x:c r="B14" s="15" t="n">
        <x:v>3</x:v>
      </x:c>
      <x:c r="C14" s="15" t="n">
        <x:v>3</x:v>
      </x:c>
      <x:c r="D14" s="15" t="n">
        <x:v>3</x:v>
      </x:c>
      <x:c r="E14" s="15" t="n">
        <x:v>3</x:v>
      </x:c>
      <x:c r="F14" t="n">
        <x:f>$B14*C14/5</x:f>
        <x:v>1.8</x:v>
      </x:c>
      <x:c r="G14" t="n">
        <x:f>$B14*D14/5</x:f>
        <x:v>1.8</x:v>
      </x:c>
      <x:c r="H14" t="n">
        <x:f>$B14*E14/5</x:f>
        <x:v>1.8</x:v>
      </x:c>
      <x:c r="I14" t="str">
        <x:v>sektörel teşvik ve izin teyit edilmeli</x:v>
      </x:c>
    </x:row>
    <x:row r="15">
      <x:c r="A15" t="str">
        <x:v>10. Arazi ve parsel</x:v>
      </x:c>
      <x:c r="B15" s="15" t="n">
        <x:v>5</x:v>
      </x:c>
      <x:c r="C15" s="15" t="n">
        <x:v>3</x:v>
      </x:c>
      <x:c r="D15" s="15" t="n">
        <x:v>3.4</x:v>
      </x:c>
      <x:c r="E15" s="15" t="n">
        <x:v>3.8</x:v>
      </x:c>
      <x:c r="F15" t="n">
        <x:f>$B15*C15/5</x:f>
        <x:v>3</x:v>
      </x:c>
      <x:c r="G15" t="n">
        <x:f>$B15*D15/5</x:f>
        <x:v>3.4</x:v>
      </x:c>
      <x:c r="H15" t="n">
        <x:f>$B15*E15/5</x:f>
        <x:v>3.8</x:v>
      </x:c>
      <x:c r="I15" t="str">
        <x:v>uygun parsel fiyatı / statüsü eksik</x:v>
      </x:c>
    </x:row>
    <x:row r="16">
      <x:c r="A16" t="str">
        <x:v>11. Sel ve yangın</x:v>
      </x:c>
      <x:c r="B16" s="15" t="n">
        <x:v>3</x:v>
      </x:c>
      <x:c r="C16" s="15" t="n">
        <x:v>3</x:v>
      </x:c>
      <x:c r="D16" s="15" t="n">
        <x:v>3</x:v>
      </x:c>
      <x:c r="E16" s="15" t="n">
        <x:v>3</x:v>
      </x:c>
      <x:c r="F16" t="n">
        <x:f>$B16*C16/5</x:f>
        <x:v>1.8</x:v>
      </x:c>
      <x:c r="G16" t="n">
        <x:f>$B16*D16/5</x:f>
        <x:v>1.8</x:v>
      </x:c>
      <x:c r="H16" t="n">
        <x:f>$B16*E16/5</x:f>
        <x:v>1.8</x:v>
      </x:c>
      <x:c r="I16" t="str">
        <x:v>parsel AFAD, zemin, taşkın etüdü eksik</x:v>
      </x:c>
    </x:row>
    <x:row r="17">
      <x:c r="A17" t="str">
        <x:v>12. Toplumsal faktör</x:v>
      </x:c>
      <x:c r="B17" s="15" t="n">
        <x:v>2</x:v>
      </x:c>
      <x:c r="C17" s="15" t="n">
        <x:v>4</x:v>
      </x:c>
      <x:c r="D17" s="15" t="n">
        <x:v>3.8</x:v>
      </x:c>
      <x:c r="E17" s="15" t="n">
        <x:v>3.7</x:v>
      </x:c>
      <x:c r="F17" t="n">
        <x:f>$B17*C17/5</x:f>
        <x:v>1.6</x:v>
      </x:c>
      <x:c r="G17" t="n">
        <x:f>$B17*D17/5</x:f>
        <x:v>1.52</x:v>
      </x:c>
      <x:c r="H17" t="n">
        <x:f>$B17*E17/5</x:f>
        <x:v>1.48</x:v>
      </x:c>
      <x:c r="I17" t="str">
        <x:v>işgücü yaşam koşulları teyit</x:v>
      </x:c>
    </x:row>
    <x:row r="18">
      <x:c r="A18" s="23" t="str">
        <x:v>TOPLAM / 100</x:v>
      </x:c>
      <x:c r="B18" s="23" t="n">
        <x:f>SUM(B6:B17)</x:f>
        <x:v>100</x:v>
      </x:c>
      <x:c r="C18" s="23" t="n">
        <x:f>SUM(F6:F17)</x:f>
        <x:v>81.49999999999999</x:v>
      </x:c>
      <x:c r="D18" s="23" t="n">
        <x:f>SUM(G6:G17)</x:f>
        <x:v>77.82</x:v>
      </x:c>
      <x:c r="E18" s="23" t="n">
        <x:f>SUM(H6:H17)</x:f>
        <x:v>74.97999999999999</x:v>
      </x:c>
      <x:c r="F18" t="str"/>
      <x:c r="G18" t="str"/>
      <x:c r="H18" t="str"/>
    </x:row>
    <x:row r="20">
      <x:c r="A20" t="str">
        <x:v>Dikkat</x:v>
      </x:c>
      <x:c r="B20" t="str">
        <x:v>Daha yüksek puan = daha güçlü ön sıralama; bu finansal bir kârlılık kanıtı değildir.</x:v>
      </x:c>
    </x:row>
    <x:row r="21">
      <x:c r="A21" t="str">
        <x:v>Uygunluk kapısı</x:v>
      </x:c>
      <x:c r="B21" t="str">
        <x:v>Parsel/izin, gıda hijyeni, su, atık su ve zemin etüdü onaylanmazsa skor değerlendirme dışıdır.</x:v>
      </x:c>
    </x:row>
    <x:row r="22">
      <x:c r="A22" t="str">
        <x:v>Kaynaklılık</x:v>
      </x:c>
      <x:c r="B22" t="str">
        <x:v>Veri ile anket puanı ayrılmıştır; mevcut puanların hiçbiri saha ölçümü değildir.</x:v>
      </x:c>
    </x:row>
    <x:row r="23">
      <x:c r="A23" t="str">
        <x:v>Puan yöntemi</x:v>
      </x:c>
      <x:c r="B23" t="str">
        <x:v>Ağırlık % × bölge puanı / 5; toplam 100 üzerinden.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8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KAPASİTE × SATIŞ FİYATI DUYARLILIĞI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Bursa için örnek NPV; kapasite ölçeklenmesinde CAPEX 0.65 ve sabit gider 0.70 üsteli BİRER VARSAYIMDIR.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4" customHeight="1">
      <x:c r="A4" s="11" t="str">
        <x:v>Ton/gün \ Net TL/kg</x:v>
      </x:c>
      <x:c r="B4" s="11" t="n">
        <x:v>115</x:v>
      </x:c>
      <x:c r="C4" s="11" t="n">
        <x:v>135</x:v>
      </x:c>
      <x:c r="D4" s="11" t="n">
        <x:v>155</x:v>
      </x:c>
    </x:row>
    <x:row r="5">
      <x:c r="A5" t="n">
        <x:v>5</x:v>
      </x:c>
      <x:c r="B5" s="38" t="n">
        <x:f>(-(LOKASYON!$I$6*(($A5/GIRDILER!$B$4)^0.65))-(GIRDILER!$B$15*($A5/GIRDILER!$B$4)^0.8)+((($A5*GIRDILER!$B$5*1000)*(B$4-(RECETE!$D$14+GIRDILER!$B$8/GIRDILER!$B$9+GIRDILER!$B$10+GIRDILER!$B$11+LOKASYON!$B$6+LOKASYON!$C$6+LOKASYON!$D$6+LOKASYON!$E$6))-SUM(LOKASYON!$F$6:$H$6)*(($A5/GIRDILER!$B$4)^0.7)-(LOKASYON!$I$6*(($A5/GIRDILER!$B$4)^0.65))*GIRDILER!$B$16/GIRDILER!$B$14)*(1-GIRDILER!$B$12)+(LOKASYON!$I$6*(($A5/GIRDILER!$B$4)^0.65))*GIRDILER!$B$16/GIRDILER!$B$14-(LOKASYON!$I$6*(($A5/GIRDILER!$B$4)^0.65))*GIRDILER!$B$18)*(1-(1+GIRDILER!$B$13)^(-GIRDILER!$B$14))/GIRDILER!$B$13+((LOKASYON!$I$6*(($A5/GIRDILER!$B$4)^0.65))*GIRDILER!$B$17+GIRDILER!$B$15*(($A5/GIRDILER!$B$4)^0.8))/(1+GIRDILER!$B$13)^GIRDILER!$B$14)</x:f>
        <x:v>-140101538.5949178</x:v>
      </x:c>
      <x:c r="C5" s="38" t="n">
        <x:f>(-(LOKASYON!$I$6*(($A5/GIRDILER!$B$4)^0.65))-(GIRDILER!$B$15*($A5/GIRDILER!$B$4)^0.8)+((($A5*GIRDILER!$B$5*1000)*(C$4-(RECETE!$D$14+GIRDILER!$B$8/GIRDILER!$B$9+GIRDILER!$B$10+GIRDILER!$B$11+LOKASYON!$B$6+LOKASYON!$C$6+LOKASYON!$D$6+LOKASYON!$E$6))-SUM(LOKASYON!$F$6:$H$6)*(($A5/GIRDILER!$B$4)^0.7)-(LOKASYON!$I$6*(($A5/GIRDILER!$B$4)^0.65))*GIRDILER!$B$16/GIRDILER!$B$14)*(1-GIRDILER!$B$12)+(LOKASYON!$I$6*(($A5/GIRDILER!$B$4)^0.65))*GIRDILER!$B$16/GIRDILER!$B$14-(LOKASYON!$I$6*(($A5/GIRDILER!$B$4)^0.65))*GIRDILER!$B$18)*(1-(1+GIRDILER!$B$13)^(-GIRDILER!$B$14))/GIRDILER!$B$13+((LOKASYON!$I$6*(($A5/GIRDILER!$B$4)^0.65))*GIRDILER!$B$17+GIRDILER!$B$15*(($A5/GIRDILER!$B$4)^0.8))/(1+GIRDILER!$B$13)^GIRDILER!$B$14)</x:f>
        <x:v>-34159856.81221403</x:v>
      </x:c>
      <x:c r="D5" s="38" t="n">
        <x:f>(-(LOKASYON!$I$6*(($A5/GIRDILER!$B$4)^0.65))-(GIRDILER!$B$15*($A5/GIRDILER!$B$4)^0.8)+((($A5*GIRDILER!$B$5*1000)*(D$4-(RECETE!$D$14+GIRDILER!$B$8/GIRDILER!$B$9+GIRDILER!$B$10+GIRDILER!$B$11+LOKASYON!$B$6+LOKASYON!$C$6+LOKASYON!$D$6+LOKASYON!$E$6))-SUM(LOKASYON!$F$6:$H$6)*(($A5/GIRDILER!$B$4)^0.7)-(LOKASYON!$I$6*(($A5/GIRDILER!$B$4)^0.65))*GIRDILER!$B$16/GIRDILER!$B$14)*(1-GIRDILER!$B$12)+(LOKASYON!$I$6*(($A5/GIRDILER!$B$4)^0.65))*GIRDILER!$B$16/GIRDILER!$B$14-(LOKASYON!$I$6*(($A5/GIRDILER!$B$4)^0.65))*GIRDILER!$B$18)*(1-(1+GIRDILER!$B$13)^(-GIRDILER!$B$14))/GIRDILER!$B$13+((LOKASYON!$I$6*(($A5/GIRDILER!$B$4)^0.65))*GIRDILER!$B$17+GIRDILER!$B$15*(($A5/GIRDILER!$B$4)^0.8))/(1+GIRDILER!$B$13)^GIRDILER!$B$14)</x:f>
        <x:v>71781824.97048973</x:v>
      </x:c>
    </x:row>
    <x:row r="6">
      <x:c r="A6" t="n">
        <x:v>10</x:v>
      </x:c>
      <x:c r="B6" s="38" t="n">
        <x:f>(-(LOKASYON!$I$6*(($A6/GIRDILER!$B$4)^0.65))-(GIRDILER!$B$15*($A6/GIRDILER!$B$4)^0.8)+((($A6*GIRDILER!$B$5*1000)*(B$4-(RECETE!$D$14+GIRDILER!$B$8/GIRDILER!$B$9+GIRDILER!$B$10+GIRDILER!$B$11+LOKASYON!$B$6+LOKASYON!$C$6+LOKASYON!$D$6+LOKASYON!$E$6))-SUM(LOKASYON!$F$6:$H$6)*(($A6/GIRDILER!$B$4)^0.7)-(LOKASYON!$I$6*(($A6/GIRDILER!$B$4)^0.65))*GIRDILER!$B$16/GIRDILER!$B$14)*(1-GIRDILER!$B$12)+(LOKASYON!$I$6*(($A6/GIRDILER!$B$4)^0.65))*GIRDILER!$B$16/GIRDILER!$B$14-(LOKASYON!$I$6*(($A6/GIRDILER!$B$4)^0.65))*GIRDILER!$B$18)*(1-(1+GIRDILER!$B$13)^(-GIRDILER!$B$14))/GIRDILER!$B$13+((LOKASYON!$I$6*(($A6/GIRDILER!$B$4)^0.65))*GIRDILER!$B$17+GIRDILER!$B$15*(($A6/GIRDILER!$B$4)^0.8))/(1+GIRDILER!$B$13)^GIRDILER!$B$14)</x:f>
        <x:v>-162508641.8425069</x:v>
      </x:c>
      <x:c r="C6" s="38" t="n">
        <x:f>(-(LOKASYON!$I$6*(($A6/GIRDILER!$B$4)^0.65))-(GIRDILER!$B$15*($A6/GIRDILER!$B$4)^0.8)+((($A6*GIRDILER!$B$5*1000)*(C$4-(RECETE!$D$14+GIRDILER!$B$8/GIRDILER!$B$9+GIRDILER!$B$10+GIRDILER!$B$11+LOKASYON!$B$6+LOKASYON!$C$6+LOKASYON!$D$6+LOKASYON!$E$6))-SUM(LOKASYON!$F$6:$H$6)*(($A6/GIRDILER!$B$4)^0.7)-(LOKASYON!$I$6*(($A6/GIRDILER!$B$4)^0.65))*GIRDILER!$B$16/GIRDILER!$B$14)*(1-GIRDILER!$B$12)+(LOKASYON!$I$6*(($A6/GIRDILER!$B$4)^0.65))*GIRDILER!$B$16/GIRDILER!$B$14-(LOKASYON!$I$6*(($A6/GIRDILER!$B$4)^0.65))*GIRDILER!$B$18)*(1-(1+GIRDILER!$B$13)^(-GIRDILER!$B$14))/GIRDILER!$B$13+((LOKASYON!$I$6*(($A6/GIRDILER!$B$4)^0.65))*GIRDILER!$B$17+GIRDILER!$B$15*(($A6/GIRDILER!$B$4)^0.8))/(1+GIRDILER!$B$13)^GIRDILER!$B$14)</x:f>
        <x:v>49374721.72290064</x:v>
      </x:c>
      <x:c r="D6" s="38" t="n">
        <x:f>(-(LOKASYON!$I$6*(($A6/GIRDILER!$B$4)^0.65))-(GIRDILER!$B$15*($A6/GIRDILER!$B$4)^0.8)+((($A6*GIRDILER!$B$5*1000)*(D$4-(RECETE!$D$14+GIRDILER!$B$8/GIRDILER!$B$9+GIRDILER!$B$10+GIRDILER!$B$11+LOKASYON!$B$6+LOKASYON!$C$6+LOKASYON!$D$6+LOKASYON!$E$6))-SUM(LOKASYON!$F$6:$H$6)*(($A6/GIRDILER!$B$4)^0.7)-(LOKASYON!$I$6*(($A6/GIRDILER!$B$4)^0.65))*GIRDILER!$B$16/GIRDILER!$B$14)*(1-GIRDILER!$B$12)+(LOKASYON!$I$6*(($A6/GIRDILER!$B$4)^0.65))*GIRDILER!$B$16/GIRDILER!$B$14-(LOKASYON!$I$6*(($A6/GIRDILER!$B$4)^0.65))*GIRDILER!$B$18)*(1-(1+GIRDILER!$B$13)^(-GIRDILER!$B$14))/GIRDILER!$B$13+((LOKASYON!$I$6*(($A6/GIRDILER!$B$4)^0.65))*GIRDILER!$B$17+GIRDILER!$B$15*(($A6/GIRDILER!$B$4)^0.8))/(1+GIRDILER!$B$13)^GIRDILER!$B$14)</x:f>
        <x:v>261258085.2883082</x:v>
      </x:c>
    </x:row>
    <x:row r="7">
      <x:c r="A7" t="n">
        <x:v>25</x:v>
      </x:c>
      <x:c r="B7" s="38" t="n">
        <x:f>(-(LOKASYON!$I$6*(($A7/GIRDILER!$B$4)^0.65))-(GIRDILER!$B$15*($A7/GIRDILER!$B$4)^0.8)+((($A7*GIRDILER!$B$5*1000)*(B$4-(RECETE!$D$14+GIRDILER!$B$8/GIRDILER!$B$9+GIRDILER!$B$10+GIRDILER!$B$11+LOKASYON!$B$6+LOKASYON!$C$6+LOKASYON!$D$6+LOKASYON!$E$6))-SUM(LOKASYON!$F$6:$H$6)*(($A7/GIRDILER!$B$4)^0.7)-(LOKASYON!$I$6*(($A7/GIRDILER!$B$4)^0.65))*GIRDILER!$B$16/GIRDILER!$B$14)*(1-GIRDILER!$B$12)+(LOKASYON!$I$6*(($A7/GIRDILER!$B$4)^0.65))*GIRDILER!$B$16/GIRDILER!$B$14-(LOKASYON!$I$6*(($A7/GIRDILER!$B$4)^0.65))*GIRDILER!$B$18)*(1-(1+GIRDILER!$B$13)^(-GIRDILER!$B$14))/GIRDILER!$B$13+((LOKASYON!$I$6*(($A7/GIRDILER!$B$4)^0.65))*GIRDILER!$B$17+GIRDILER!$B$15*(($A7/GIRDILER!$B$4)^0.8))/(1+GIRDILER!$B$13)^GIRDILER!$B$14)</x:f>
        <x:v>-106351714.28660831</x:v>
      </x:c>
      <x:c r="C7" s="38" t="n">
        <x:f>(-(LOKASYON!$I$6*(($A7/GIRDILER!$B$4)^0.65))-(GIRDILER!$B$15*($A7/GIRDILER!$B$4)^0.8)+((($A7*GIRDILER!$B$5*1000)*(C$4-(RECETE!$D$14+GIRDILER!$B$8/GIRDILER!$B$9+GIRDILER!$B$10+GIRDILER!$B$11+LOKASYON!$B$6+LOKASYON!$C$6+LOKASYON!$D$6+LOKASYON!$E$6))-SUM(LOKASYON!$F$6:$H$6)*(($A7/GIRDILER!$B$4)^0.7)-(LOKASYON!$I$6*(($A7/GIRDILER!$B$4)^0.65))*GIRDILER!$B$16/GIRDILER!$B$14)*(1-GIRDILER!$B$12)+(LOKASYON!$I$6*(($A7/GIRDILER!$B$4)^0.65))*GIRDILER!$B$16/GIRDILER!$B$14-(LOKASYON!$I$6*(($A7/GIRDILER!$B$4)^0.65))*GIRDILER!$B$18)*(1-(1+GIRDILER!$B$13)^(-GIRDILER!$B$14))/GIRDILER!$B$13+((LOKASYON!$I$6*(($A7/GIRDILER!$B$4)^0.65))*GIRDILER!$B$17+GIRDILER!$B$15*(($A7/GIRDILER!$B$4)^0.8))/(1+GIRDILER!$B$13)^GIRDILER!$B$14)</x:f>
        <x:v>423356694.62691057</x:v>
      </x:c>
      <x:c r="D7" s="38" t="n">
        <x:f>(-(LOKASYON!$I$6*(($A7/GIRDILER!$B$4)^0.65))-(GIRDILER!$B$15*($A7/GIRDILER!$B$4)^0.8)+((($A7*GIRDILER!$B$5*1000)*(D$4-(RECETE!$D$14+GIRDILER!$B$8/GIRDILER!$B$9+GIRDILER!$B$10+GIRDILER!$B$11+LOKASYON!$B$6+LOKASYON!$C$6+LOKASYON!$D$6+LOKASYON!$E$6))-SUM(LOKASYON!$F$6:$H$6)*(($A7/GIRDILER!$B$4)^0.7)-(LOKASYON!$I$6*(($A7/GIRDILER!$B$4)^0.65))*GIRDILER!$B$16/GIRDILER!$B$14)*(1-GIRDILER!$B$12)+(LOKASYON!$I$6*(($A7/GIRDILER!$B$4)^0.65))*GIRDILER!$B$16/GIRDILER!$B$14-(LOKASYON!$I$6*(($A7/GIRDILER!$B$4)^0.65))*GIRDILER!$B$18)*(1-(1+GIRDILER!$B$13)^(-GIRDILER!$B$14))/GIRDILER!$B$13+((LOKASYON!$I$6*(($A7/GIRDILER!$B$4)^0.65))*GIRDILER!$B$17+GIRDILER!$B$15*(($A7/GIRDILER!$B$4)^0.8))/(1+GIRDILER!$B$13)^GIRDILER!$B$14)</x:f>
        <x:v>953065103.5404288</x:v>
      </x:c>
    </x:row>
    <x:row r="9">
      <x:c r="A9" t="str">
        <x:v>Not</x:v>
      </x:c>
      <x:c r="B9" t="str">
        <x:v>Değerlerin tamamı örnek varsayım ve model çıktısıdır.</x:v>
      </x:c>
    </x:row>
    <x:row r="10">
      <x:c r="A10" t="str">
        <x:v>Ölçek faktörleri</x:v>
      </x:c>
      <x:c r="B10" t="str">
        <x:v>CAPEX≈Kapasite^0.65; sabit gider≈Kapasite^0.70 (kaynaklı tesis mühendislik hesabı DEĞİL).</x:v>
      </x:c>
    </x:row>
    <x:row r="11">
      <x:c r="A11" t="str">
        <x:v>Pazar kısıtı</x:v>
      </x:c>
      <x:c r="B11" t="str">
        <x:v>25 ton/gün için satışların tamamını gerçekleştirileceği varsayılmıştır; gerçek talep doğrulanmadı.</x:v>
      </x:c>
    </x:row>
    <x:row r="12">
      <x:c r="A12" t="str">
        <x:v>Duyarlılık</x:v>
      </x:c>
      <x:c r="B12" t="str">
        <x:v>Biber/satış fiyatı ve tedarik lojistik duyarlılığı ayrıca incelenmelidir.</x:v>
      </x:c>
    </x:row>
    <x:row r="13">
      <x:c r="A13" t="str">
        <x:v>Güncellenebilir</x:v>
      </x:c>
      <x:c r="B13" t="str">
        <x:v>LOKASYON / GIRDILER / RECETE hücreleri değiştirildiğinde yeniden hesaplanır.</x:v>
      </x:c>
    </x:row>
  </x:sheetData>
  <x:mergeCells>
    <x:mergeCell ref="A1:F1"/>
    <x:mergeCell ref="A2:F2"/>
  </x:mergeCells>
  <x:conditionalFormatting sqref="B5:D7">
    <x:cfRule type="colorScale" priority="1">
      <x:colorScale>
        <x:cfvo type="min"/>
        <x:cfvo type="percentile" val="50"/>
        <x:cfvo type="max"/>
        <x:color rgb="FFFCE5E5"/>
        <x:color rgb="FFFFF2D1"/>
        <x:color rgb="FFD9F2E7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7" hidden="0" customWidth="1"/>
    <x:col min="4" max="4" width="81" hidden="0" customWidth="1"/>
    <x:col min="5" max="5" width="89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5" customHeight="1">
      <x:c r="A1" s="3" t="str">
        <x:v>KAYNAK ENVANTERİ VE İZLENEBİLİRLİK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7" t="str">
        <x:v>Güvenilir kaynak / tarih / içerik / sınırlama. Piyasa fiyatı veya 2026 arsa fiyatı için doğrulanmış teklif YOK.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28" customHeight="1">
      <x:c r="A5" s="11" t="str">
        <x:v>Kaynak ID</x:v>
      </x:c>
      <x:c r="B5" s="11" t="str">
        <x:v>Konu</x:v>
      </x:c>
      <x:c r="C5" s="11" t="str">
        <x:v>Kaynak tarih / seviye</x:v>
      </x:c>
      <x:c r="D5" s="11" t="str">
        <x:v>Saptama ve sınır</x:v>
      </x:c>
      <x:c r="E5" s="11" t="str">
        <x:v>URL</x:v>
      </x:c>
    </x:row>
    <x:row r="6" ht="32" customHeight="1">
      <x:c r="A6" s="50" t="str">
        <x:v>S1 Bursa Bakanlık</x:v>
      </x:c>
      <x:c r="B6" s="50" t="str">
        <x:v>Tarımsal üretim</x:v>
      </x:c>
      <x:c r="C6" s="50" t="str">
        <x:v>2025 rehberi; TÜİK 2024</x:v>
      </x:c>
      <x:c r="D6" s="50" t="str">
        <x:v>Bursa il domates biber patlıcan, ayçiçeği; ilçe/bölge alım garantisi değildir</x:v>
      </x:c>
      <x:c r="E6" s="50" t="str">
        <x:v>https://www.tarimorman.gov.tr/TRGM/TARYAT/Belgeler/Tarımsal%20yatırım%20rehberi/Bursa%20Tarımsal%20Yatırım%20Rehberi-2025.pdf</x:v>
      </x:c>
    </x:row>
    <x:row r="7" ht="32" customHeight="1">
      <x:c r="A7" s="50" t="str">
        <x:v>S2 Manisa Bakanlık</x:v>
      </x:c>
      <x:c r="B7" s="50" t="str">
        <x:v>Tarımsal üretim</x:v>
      </x:c>
      <x:c r="C7" s="50" t="str">
        <x:v>2025 rehberi; TÜİK 2024</x:v>
      </x:c>
      <x:c r="D7" s="50" t="str">
        <x:v>Manisa il domates biber; seçilmiş tabloda patlıcan yok</x:v>
      </x:c>
      <x:c r="E7" s="50" t="str">
        <x:v>https://www.tarimorman.gov.tr/TRGM/TARYAT/Belgeler/Tarımsal%20yatırım%20rehberi/Manisa%20Tarımsal%20Yatırım%20Rehberi-2025.pdf</x:v>
      </x:c>
    </x:row>
    <x:row r="8" ht="32" customHeight="1">
      <x:c r="A8" s="50" t="str">
        <x:v>S3 Balıkesir Bakanlık</x:v>
      </x:c>
      <x:c r="B8" s="50" t="str">
        <x:v>Tarımsal üretim</x:v>
      </x:c>
      <x:c r="C8" s="50" t="str">
        <x:v>2025 rehberi; TÜİK 2024</x:v>
      </x:c>
      <x:c r="D8" s="50" t="str">
        <x:v>Balıkesir il domates biber patlıcan</x:v>
      </x:c>
      <x:c r="E8" s="50" t="str">
        <x:v>https://www.tarimorman.gov.tr/TRGM/TARYAT/Belgeler/Tarımsal%20yatırım%20rehberi/Balıkesir%20Tarımsal%20Yatırım%20Rehberi-2025.pdf</x:v>
      </x:c>
    </x:row>
    <x:row r="9" ht="32" customHeight="1">
      <x:c r="A9" s="50" t="str">
        <x:v>S4 MKP OSB</x:v>
      </x:c>
      <x:c r="B9" s="50" t="str">
        <x:v>Altyapı / arıtma</x:v>
      </x:c>
      <x:c r="C9" s="50" t="str">
        <x:v>OSB resmî</x:v>
      </x:c>
      <x:c r="D9" s="50" t="str">
        <x:v>2011 arıtma 2000 m³/gün; 2026 duyurusunda 4000+4000 planı; kapasite teyit</x:v>
      </x:c>
      <x:c r="E9" s="50" t="str">
        <x:v>https://www.mkposb.org.tr/tarihce</x:v>
      </x:c>
    </x:row>
    <x:row r="10" ht="32" customHeight="1">
      <x:c r="A10" s="50" t="str">
        <x:v>S5 MKP 2026</x:v>
      </x:c>
      <x:c r="B10" s="50" t="str">
        <x:v>OSB altyapı / parsel</x:v>
      </x:c>
      <x:c r="C10" s="50" t="str">
        <x:v>17. genel kurul</x:v>
      </x:c>
      <x:c r="D10" s="50" t="str">
        <x:v>Doğalgaz/su/elektrik şebekesi açıklanıyor; AAT yatırımı hedef, mevcut değil</x:v>
      </x:c>
      <x:c r="E10" s="50" t="str">
        <x:v>https://mkposb.org.tr/bolgemiz-17-olagan-genel-kurul-toplantisi-yapildi@h@128</x:v>
      </x:c>
    </x:row>
    <x:row r="11" ht="32" customHeight="1">
      <x:c r="A11" s="50" t="str">
        <x:v>S6 Salihli OSB</x:v>
      </x:c>
      <x:c r="B11" s="50" t="str">
        <x:v>Atık su</x:v>
      </x:c>
      <x:c r="C11" s="50" t="str">
        <x:v>OSB resmî</x:v>
      </x:c>
      <x:c r="D11" s="50" t="str">
        <x:v>8000 m³/gün duyurulmuş baz, 16000 m³/gün kapasite hedefi, güncel fiilî debi sorulmalı</x:v>
      </x:c>
      <x:c r="E11" s="50" t="str">
        <x:v>https://salihliosb.org.tr/atiksu-aritma/</x:v>
      </x:c>
    </x:row>
    <x:row r="12" ht="32" customHeight="1">
      <x:c r="A12" s="50" t="str">
        <x:v>S7 Gönen OSB</x:v>
      </x:c>
      <x:c r="B12" s="50" t="str">
        <x:v>Atık su / su</x:v>
      </x:c>
      <x:c r="C12" s="50" t="str">
        <x:v>OSB resmî</x:v>
      </x:c>
      <x:c r="D12" s="50" t="str">
        <x:v>10000 m³/gün AAT ve 5 kuyu; gıda tesisi faaliyetine uygun parsel teyit</x:v>
      </x:c>
      <x:c r="E12" s="50" t="str">
        <x:v>https://www.gonenosb.org.tr/</x:v>
      </x:c>
    </x:row>
    <x:row r="13" ht="32" customHeight="1">
      <x:c r="A13" s="50" t="str">
        <x:v>S8 Gönen parsel</x:v>
      </x:c>
      <x:c r="B13" s="50" t="str">
        <x:v>Arsa fiyatı</x:v>
      </x:c>
      <x:c r="C13" s="50" t="str">
        <x:v>OSB 2024 kaydı</x:v>
      </x:c>
      <x:c r="D13" s="50" t="str">
        <x:v>2024 yılı 2500 TL/m² açıklaması 2026 teklifine dönüştürülmedi</x:v>
      </x:c>
      <x:c r="E13" s="50" t="str">
        <x:v>https://gonenosb.org.tr/kurumsal/hakkimizda</x:v>
      </x:c>
    </x:row>
    <x:row r="14" ht="32" customHeight="1">
      <x:c r="A14" s="50" t="str">
        <x:v>S9 TÜİK 2025</x:v>
      </x:c>
      <x:c r="B14" s="50" t="str">
        <x:v>Üretim trendi</x:v>
      </x:c>
      <x:c r="C14" s="50" t="str">
        <x:v>Kesin 2025</x:v>
      </x:c>
      <x:c r="D14" s="50" t="str">
        <x:v>Domates %-7.6, kapya biber %-4.7 Türkiye GENELİNDE; il üretimine doğrudan uygulanmaz</x:v>
      </x:c>
      <x:c r="E14" s="50" t="str">
        <x:v>https://veriportali.tuik.gov.tr/tr/press/53939/metadata</x:v>
      </x:c>
    </x:row>
    <x:row r="15" ht="32" customHeight="1">
      <x:c r="A15" s="50" t="str">
        <x:v>S10 AFAD</x:v>
      </x:c>
      <x:c r="B15" s="50" t="str">
        <x:v>Afet / zemin</x:v>
      </x:c>
      <x:c r="C15" s="50" t="str">
        <x:v>AFAD TDTH</x:v>
      </x:c>
      <x:c r="D15" s="50" t="str">
        <x:v>Deprem tehlikesi haritası parsel zemin etüdü yerine geçmez</x:v>
      </x:c>
      <x:c r="E15" s="50" t="str">
        <x:v>https://tdth.afad.gov.tr/TDTH/loginControl.xhtml</x:v>
      </x:c>
    </x:row>
    <x:row r="16" ht="32" customHeight="1">
      <x:c r="A16" s="50" t="str">
        <x:v>S11 Bakanlık</x:v>
      </x:c>
      <x:c r="B16" s="50" t="str">
        <x:v>Gıda sicil / izin</x:v>
      </x:c>
      <x:c r="C16" s="50" t="str">
        <x:v>Bakanlık resmî</x:v>
      </x:c>
      <x:c r="D16" s="50" t="str">
        <x:v>Gıda üreten işletmeler için kayıt/onay ayrımı ve belge gereklilikleri incelenmeli</x:v>
      </x:c>
      <x:c r="E16" s="50" t="str">
        <x:v>https://www.tarimorman.gov.tr/Konu/1052/gida-isletmesi-kayit-proseduru-istenen-bilgi-belge</x:v>
      </x:c>
    </x:row>
    <x:row r="17" ht="32" customHeight="1">
      <x:c r="A17" s="50" t="str">
        <x:v>S12 FE401 slayt</x:v>
      </x:c>
      <x:c r="B17" s="50" t="str">
        <x:v>Tesis yeri seçimi</x:v>
      </x:c>
      <x:c r="C17" s="50" t="str">
        <x:v>Kullanıcı PDF</x:v>
      </x:c>
      <x:c r="D17" s="50" t="str">
        <x:v>12 kriter: hammadde, pazar, enerji, iklim, ulaşım, su, atık, iş gücü, vergiler, arazi, sel/yangın, toplum</x:v>
      </x:c>
      <x:c r="E17" s="50" t="str">
        <x:v>Kullanıcının yüklediği FE401-P02-SLIDES PDF, 2–12. sayfalar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5" hidden="0" customWidth="1"/>
    <x:col min="3" max="3" width="25" hidden="0" customWidth="1"/>
    <x:col min="4" max="4" width="25" hidden="0" customWidth="1"/>
    <x:col min="5" max="5" width="20" hidden="0" customWidth="1"/>
    <x:col min="6" max="6" width="20" hidden="0" customWidth="1"/>
    <x:col min="7" max="7" width="75" hidden="0" customWidth="1"/>
  </x:cols>
  <x:sheetData>
    <x:row r="1">
      <x:c r="A1" t="str">
        <x:v>İL BAZINDA HAM MADDE YILLIK ÜRETİMİ</x:v>
      </x:c>
    </x:row>
    <x:row r="2">
      <x:c r="A2" t="str">
        <x:v>Bakanlık 2025 rehberleri / TÜİK 2024; il toplamı, ilçe veya tedarikçi arzı DEĞİLDİR.</x:v>
      </x:c>
    </x:row>
    <x:row r="5" ht="44" customHeight="1">
      <x:c r="A5" s="34" t="str">
        <x:v>İl</x:v>
      </x:c>
      <x:c r="B5" s="34" t="str">
        <x:v>Domates salçalık (ton)</x:v>
      </x:c>
      <x:c r="C5" s="34" t="str">
        <x:v>Biber salçalık (ton)</x:v>
      </x:c>
      <x:c r="D5" s="34" t="str">
        <x:v>Patlıcan (ton)</x:v>
      </x:c>
      <x:c r="E5" s="34" t="str">
        <x:v>Biber ihtiyaç / üretim</x:v>
      </x:c>
      <x:c r="F5" s="34" t="str">
        <x:v>Domates ihtiyaç / üretim</x:v>
      </x:c>
      <x:c r="G5" s="34" t="str">
        <x:v>Kaynak</x:v>
      </x:c>
    </x:row>
    <x:row r="6">
      <x:c r="A6" t="str">
        <x:v>Bursa</x:v>
      </x:c>
      <x:c r="B6" s="38" t="n">
        <x:v>1537492</x:v>
      </x:c>
      <x:c r="C6" s="38" t="n">
        <x:v>202470</x:v>
      </x:c>
      <x:c r="D6" s="38" t="n">
        <x:v>31239</x:v>
      </x:c>
      <x:c r="E6" s="46" t="n">
        <x:f>RECETE!$B$18*RECETE!$B$6/(C6*1000)</x:f>
        <x:v>0.014817009927396652</x:v>
      </x:c>
      <x:c r="F6" s="46" t="n">
        <x:f>RECETE!$B$18*RECETE!$B$7/(B6*1000)</x:f>
        <x:v>0.0013821210126621797</x:v>
      </x:c>
      <x:c r="G6" t="str">
        <x:v>https://www.tarimorman.gov.tr/TRGM/TARYAT/Belgeler/Tarımsal%20yatırım%20rehberi/Bursa%20Tarımsal%20Yatırım%20Rehberi-2025.pdf</x:v>
      </x:c>
    </x:row>
    <x:row r="7">
      <x:c r="A7" t="str">
        <x:v>Manisa</x:v>
      </x:c>
      <x:c r="B7" s="38" t="n">
        <x:v>1120064</x:v>
      </x:c>
      <x:c r="C7" s="38" t="n">
        <x:v>115903</x:v>
      </x:c>
      <x:c r="D7" s="38"/>
      <x:c r="E7" s="46" t="n">
        <x:f>RECETE!$B$18*RECETE!$B$6/(C7*1000)</x:f>
        <x:v>0.025883713104923944</x:v>
      </x:c>
      <x:c r="F7" s="46" t="n">
        <x:f>RECETE!$B$18*RECETE!$B$7/(B7*1000)</x:f>
        <x:v>0.001897213016399063</x:v>
      </x:c>
      <x:c r="G7" t="str">
        <x:v>https://www.tarimorman.gov.tr/TRGM/TARYAT/Belgeler/Tarımsal%20yatırım%20rehberi/Manisa%20Tarımsal%20Yatırım%20Rehberi-2025.pdf</x:v>
      </x:c>
    </x:row>
    <x:row r="8">
      <x:c r="A8" t="str">
        <x:v>Balıkesir</x:v>
      </x:c>
      <x:c r="B8" s="38" t="n">
        <x:v>760229</x:v>
      </x:c>
      <x:c r="C8" s="38" t="n">
        <x:v>120917</x:v>
      </x:c>
      <x:c r="D8" s="38" t="n">
        <x:v>12995</x:v>
      </x:c>
      <x:c r="E8" s="46" t="n">
        <x:f>RECETE!$B$18*RECETE!$B$6/(C8*1000)</x:f>
        <x:v>0.024810407138781146</x:v>
      </x:c>
      <x:c r="F8" s="46" t="n">
        <x:f>RECETE!$B$18*RECETE!$B$7/(B8*1000)</x:f>
        <x:v>0.002795210390553373</x:v>
      </x:c>
      <x:c r="G8" t="str">
        <x:v>https://www.tarimorman.gov.tr/TRGM/TARYAT/Belgeler/Tarımsal%20yatırım%20rehberi/Balıkesir%20Tarımsal%20Yatırım%20Rehberi-2025.pdf</x:v>
      </x:c>
    </x:row>
    <x:row r="10">
      <x:c r="A10" s="48" t="str">
        <x:v>AYRIM</x:v>
      </x:c>
      <x:c r="B10" s="48" t="str">
        <x:v>Sarımsak</x:v>
      </x:c>
      <x:c r="C10" s="48" t="str">
        <x:v>Rafine ayçiçek yağı</x:v>
      </x:c>
      <x:c r="D10" s="48" t="str">
        <x:v>Baharatlar</x:v>
      </x:c>
      <x:c r="E10" s="48" t="str">
        <x:v>Tuz / sirke</x:v>
      </x:c>
      <x:c r="F10" s="48" t="str"/>
      <x:c r="G10" s="48" t="str"/>
    </x:row>
    <x:row r="11">
      <x:c r="A11" t="str">
        <x:v>Veri</x:v>
      </x:c>
      <x:c r="B11" t="str">
        <x:v>Tedarikçi / ürün spesifikasyonu eksik</x:v>
      </x:c>
      <x:c r="C11" t="str">
        <x:v>Yağlık ayçiçeği ≠ rafine yağ</x:v>
      </x:c>
      <x:c r="D11" t="str">
        <x:v>Karışım içeriği net değil</x:v>
      </x:c>
      <x:c r="E11" t="str">
        <x:v>Fiyat teklifleri yok</x:v>
      </x:c>
      <x:c r="F11" t="str"/>
      <x:c r="G11" t="str"/>
    </x:row>
    <x:row r="12">
      <x:c r="A12" t="str">
        <x:v>Uyarı</x:v>
      </x:c>
      <x:c r="B12" t="str">
        <x:v>İlçe bazlı ürün arzı, fire, sözleşmeli miktar ve gerçek navlun bulunmadan en iyi fabrika yeri kanıtlanamaz.</x:v>
      </x:c>
      <x:c r="C12" t="str"/>
      <x:c r="D12" t="str"/>
      <x:c r="E12" t="str"/>
      <x:c r="F12" t="str"/>
      <x:c r="G12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5" hidden="0" customWidth="1"/>
    <x:col min="3" max="3" width="20" hidden="0" customWidth="1"/>
    <x:col min="4" max="4" width="20" hidden="0" customWidth="1"/>
    <x:col min="5" max="5" width="20" hidden="0" customWidth="1"/>
    <x:col min="6" max="6" width="73" hidden="0" customWidth="1"/>
  </x:cols>
  <x:sheetData>
    <x:row r="1">
      <x:c r="A1" t="str">
        <x:v>PROSES ALTYAPISI | KAPASİTE BAZLI ÖN BOYUTLANDIRMA</x:v>
      </x:c>
    </x:row>
    <x:row r="2">
      <x:c r="A2" t="str">
        <x:v>Aşağıdaki özgül tüketimler mühendislik varsayımıdır, ölçüm/tedarikçi garantisi DEĞİLDİR.</x:v>
      </x:c>
    </x:row>
    <x:row r="5" ht="24" customHeight="1">
      <x:c r="A5" s="11" t="str">
        <x:v>Kaynak</x:v>
      </x:c>
      <x:c r="B5" s="11" t="str">
        <x:v>Alt varsayım / ton ürün</x:v>
      </x:c>
      <x:c r="C5" s="11" t="str">
        <x:v>Üst varsayım / ton ürün</x:v>
      </x:c>
      <x:c r="D5" s="11" t="str">
        <x:v>Alt / gün</x:v>
      </x:c>
      <x:c r="E5" s="11" t="str">
        <x:v>Üst / gün</x:v>
      </x:c>
      <x:c r="F5" s="11" t="str">
        <x:v>Birim ve gerekli doğrulama</x:v>
      </x:c>
    </x:row>
    <x:row r="6">
      <x:c r="A6" t="str">
        <x:v>Proses suyu</x:v>
      </x:c>
      <x:c r="B6" s="15" t="n">
        <x:v>3</x:v>
      </x:c>
      <x:c r="C6" s="15" t="n">
        <x:v>7</x:v>
      </x:c>
      <x:c r="D6" t="n">
        <x:f>B6*GIRDILER!$B$4</x:f>
        <x:v>30</x:v>
      </x:c>
      <x:c r="E6" t="n">
        <x:f>C6*GIRDILER!$B$4</x:f>
        <x:v>70</x:v>
      </x:c>
      <x:c r="F6" t="str">
        <x:v>m³/ton -&gt; m³/gün; CIP, sebze yıkama, soğutma, kayıplar</x:v>
      </x:c>
    </x:row>
    <x:row r="7">
      <x:c r="A7" t="str">
        <x:v>Atık su / kullanılan su</x:v>
      </x:c>
      <x:c r="B7" s="15" t="n">
        <x:v>0.6</x:v>
      </x:c>
      <x:c r="C7" s="15" t="n">
        <x:v>0.8</x:v>
      </x:c>
      <x:c r="D7" t="n">
        <x:f>D6*B7</x:f>
        <x:v>18</x:v>
      </x:c>
      <x:c r="E7" t="n">
        <x:f>E6*C7</x:f>
        <x:v>56</x:v>
      </x:c>
      <x:c r="F7" t="str">
        <x:v>oran; ham su tüketimi üzerinden deşarj; arıtma yükü ayrıca önemli</x:v>
      </x:c>
    </x:row>
    <x:row r="8">
      <x:c r="A8" t="str">
        <x:v>Elektrik</x:v>
      </x:c>
      <x:c r="B8" s="15" t="n">
        <x:v>200</x:v>
      </x:c>
      <x:c r="C8" s="15" t="n">
        <x:v>450</x:v>
      </x:c>
      <x:c r="D8" t="n">
        <x:f>B8*GIRDILER!$B$4</x:f>
        <x:v>2000</x:v>
      </x:c>
      <x:c r="E8" t="n">
        <x:f>C8*GIRDILER!$B$4</x:f>
        <x:v>4500</x:v>
      </x:c>
      <x:c r="F8" t="str">
        <x:v>kWh/ton -&gt; kWh/gün; ekipman bağlantı güçleri ayrıntılandırılmalı</x:v>
      </x:c>
    </x:row>
    <x:row r="9">
      <x:c r="A9" t="str">
        <x:v>Isıl enerji</x:v>
      </x:c>
      <x:c r="B9" s="15" t="n">
        <x:v>700</x:v>
      </x:c>
      <x:c r="C9" s="15" t="n">
        <x:v>1500</x:v>
      </x:c>
      <x:c r="D9" t="n">
        <x:f>B9*GIRDILER!$B$4</x:f>
        <x:v>7000</x:v>
      </x:c>
      <x:c r="E9" t="n">
        <x:f>C9*GIRDILER!$B$4</x:f>
        <x:v>15000</x:v>
      </x:c>
      <x:c r="F9" t="str">
        <x:v>kWh/ton -&gt; kWh/gün; fırın/közleme/evaporasyon/sterilizasyon</x:v>
      </x:c>
    </x:row>
    <x:row r="10">
      <x:c r="A10" t="str">
        <x:v>Brüt sebze girdisi</x:v>
      </x:c>
      <x:c r="B10"/>
      <x:c r="C10"/>
      <x:c r="D10" t="n">
        <x:f>GIRDILER!$B$4*1000*SUM(RECETE!B6:B9)</x:f>
        <x:v>23700</x:v>
      </x:c>
      <x:c r="E10" t="n">
        <x:f>D10</x:f>
        <x:v>23700</x:v>
      </x:c>
      <x:c r="F10" t="str">
        <x:v>kg/gün; biber+domates+patlıcan+ sarımsak</x:v>
      </x:c>
    </x:row>
    <x:row r="11">
      <x:c r="A11" t="str">
        <x:v>Ambalaj (500g kavanoz)</x:v>
      </x:c>
      <x:c r="B11"/>
      <x:c r="C11"/>
      <x:c r="D11" t="n">
        <x:f>GIRDILER!$B$4*1000/GIRDILER!$B$9</x:f>
        <x:v>20000</x:v>
      </x:c>
      <x:c r="E11" t="n">
        <x:f>D11</x:f>
        <x:v>20000</x:v>
      </x:c>
      <x:c r="F11" t="str">
        <x:v>adet/gün; cam + kapak + etiket depo kapasitesi</x:v>
      </x:c>
    </x:row>
    <x:row r="13">
      <x:c r="A13" t="str">
        <x:v>ZORUNLU TEYİT</x:v>
      </x:c>
      <x:c r="B13" t="str">
        <x:v>Proses suyu kalitesi / debi / basınç / yaz kuraklığı / kullanım izni</x:v>
      </x:c>
      <x:c r="C13" t="str"/>
      <x:c r="D13" t="str"/>
      <x:c r="E13" t="str"/>
      <x:c r="F13" t="str"/>
    </x:row>
    <x:row r="14">
      <x:c r="A14" t="str">
        <x:v>ZORUNLU TEYİT</x:v>
      </x:c>
      <x:c r="B14" t="str">
        <x:v>Gıda sanayisi atık su KOİ/BOİ/yağ-gres/kirlilik limitleri</x:v>
      </x:c>
      <x:c r="C14" t="str"/>
      <x:c r="D14" t="str"/>
      <x:c r="E14" t="str"/>
      <x:c r="F14" t="str"/>
    </x:row>
    <x:row r="15">
      <x:c r="A15" t="str">
        <x:v>ZORUNLU TEYİT</x:v>
      </x:c>
      <x:c r="B15" t="str">
        <x:v>Bölge enerji/ doğalgaz bağlantı gücü ve kesinti geçmişi</x:v>
      </x:c>
      <x:c r="C15" t="str"/>
      <x:c r="D15" t="str"/>
      <x:c r="E15" t="str"/>
      <x:c r="F15" t="str"/>
    </x:row>
    <x:row r="16">
      <x:c r="A16" t="str">
        <x:v>ZORUNLU TEYİT</x:v>
      </x:c>
      <x:c r="B16" t="str">
        <x:v>Isı geri kazanımı, yakıt birimi ve mahsul sezonu stok planı</x:v>
      </x:c>
      <x:c r="C16" t="str"/>
      <x:c r="D16" t="str"/>
      <x:c r="E16" t="str"/>
      <x:c r="F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7" hidden="0" customWidth="1"/>
    <x:col min="4" max="4" width="20" hidden="0" customWidth="1"/>
    <x:col min="5" max="5" width="61" hidden="0" customWidth="1"/>
    <x:col min="6" max="6" width="48" hidden="0" customWidth="1"/>
  </x:cols>
  <x:sheetData>
    <x:row r="1" ht="32" customHeight="1">
      <x:c r="A1" s="54" t="str">
        <x:v>2026 KARAYOLU MESAFE ENVANTERI</x:v>
      </x:c>
      <x:c r="B1" s="54"/>
      <x:c r="C1" s="54"/>
      <x:c r="D1" s="54"/>
      <x:c r="E1" s="54"/>
      <x:c r="F1" s="54"/>
    </x:row>
    <x:row r="2" ht="30" customHeight="1">
      <x:c r="A2" s="57" t="str">
        <x:v>Ilce merkezi → ilce merkezi. Tek istisna Salihli icin OSB yonlu 12 km SENARYO. KGM 2026 dosyasi kesin dogrulama kaynagidir.</x:v>
      </x:c>
      <x:c r="B2" s="57"/>
      <x:c r="C2" s="57"/>
      <x:c r="D2" s="57"/>
      <x:c r="E2" s="57"/>
      <x:c r="F2" s="57"/>
    </x:row>
    <x:row r="5" ht="25" customHeight="1">
      <x:c r="A5" s="58" t="str">
        <x:v>Tedarik merkezi</x:v>
      </x:c>
      <x:c r="B5" s="58" t="str">
        <x:v>Aday fabrika</x:v>
      </x:c>
      <x:c r="C5" s="58" t="str">
        <x:v>Km (tek yon)</x:v>
      </x:c>
      <x:c r="D5" s="58" t="str">
        <x:v>Mesafe turu</x:v>
      </x:c>
      <x:c r="E5" s="58" t="str">
        <x:v>Rota kaynagi / URL</x:v>
      </x:c>
      <x:c r="F5" s="58" t="str">
        <x:v>Sinirlama</x:v>
      </x:c>
    </x:row>
    <x:row r="6">
      <x:c r="A6" t="str">
        <x:v>Karacabey</x:v>
      </x:c>
      <x:c r="B6" t="str">
        <x:v>Bursa-Mustafakemalpasa</x:v>
      </x:c>
      <x:c r="C6" s="59" t="n">
        <x:v>24</x:v>
      </x:c>
      <x:c r="D6" t="str">
        <x:v>Yaklasik karayolu</x:v>
      </x:c>
      <x:c r="E6" s="61" t="str">
        <x:v>https://kmhesaplama.com/bursa-mustafakemalpasa-karacabey-arasi-kac-km/</x:v>
      </x:c>
      <x:c r="F6" t="str">
        <x:v>Ilce merkezleri; parsel/kamyon rotasi DEGIL</x:v>
      </x:c>
    </x:row>
    <x:row r="7">
      <x:c r="A7" t="str">
        <x:v>Karacabey</x:v>
      </x:c>
      <x:c r="B7" t="str">
        <x:v>Manisa-Salihli</x:v>
      </x:c>
      <x:c r="C7" s="59" t="n">
        <x:v>244</x:v>
      </x:c>
      <x:c r="D7" t="str">
        <x:v>Yaklasik karayolu</x:v>
      </x:c>
      <x:c r="E7" s="61" t="str">
        <x:v>https://www.e-sehir.com/turkiye-haritasi/bursa-karacabey_manisa-salihli-yol-tarifi.html</x:v>
      </x:c>
      <x:c r="F7" t="str">
        <x:v>Ilce merkezleri; parsel/kamyon rotasi DEGIL</x:v>
      </x:c>
    </x:row>
    <x:row r="8">
      <x:c r="A8" t="str">
        <x:v>Karacabey</x:v>
      </x:c>
      <x:c r="B8" t="str">
        <x:v>Balikesir-Gonen</x:v>
      </x:c>
      <x:c r="C8" s="59" t="n">
        <x:v>81</x:v>
      </x:c>
      <x:c r="D8" t="str">
        <x:v>Yaklasik karayolu</x:v>
      </x:c>
      <x:c r="E8" s="61" t="str">
        <x:v>https://kmhesaplama.com/bursa-karacabey-gonen-balikesir-arasi-kac-km/</x:v>
      </x:c>
      <x:c r="F8" t="str">
        <x:v>Ilce merkezleri; parsel/kamyon rotasi DEGIL</x:v>
      </x:c>
    </x:row>
    <x:row r="9">
      <x:c r="A9" t="str">
        <x:v>Salihli</x:v>
      </x:c>
      <x:c r="B9" t="str">
        <x:v>Bursa-Mustafakemalpasa</x:v>
      </x:c>
      <x:c r="C9" s="59" t="n">
        <x:v>226</x:v>
      </x:c>
      <x:c r="D9" t="str">
        <x:v>Yaklasik karayolu</x:v>
      </x:c>
      <x:c r="E9" s="61" t="str">
        <x:v>https://www.flixbus.com.tr/otobus-seferleri/salihli-mustafakemalpasa</x:v>
      </x:c>
      <x:c r="F9" t="str">
        <x:v>Ilce merkezleri; parsel/kamyon rotasi DEGIL</x:v>
      </x:c>
    </x:row>
    <x:row r="10">
      <x:c r="A10" t="str">
        <x:v>Salihli</x:v>
      </x:c>
      <x:c r="B10" t="str">
        <x:v>Manisa-Salihli</x:v>
      </x:c>
      <x:c r="C10" s="60" t="n">
        <x:v>12</x:v>
      </x:c>
      <x:c r="D10" t="str">
        <x:v>SENARYO</x:v>
      </x:c>
      <x:c r="E10" s="61" t="str"/>
      <x:c r="F10" t="str">
        <x:v>Tahmini OSB yerel erisim, olcum DEGIL</x:v>
      </x:c>
    </x:row>
    <x:row r="11">
      <x:c r="A11" t="str">
        <x:v>Salihli</x:v>
      </x:c>
      <x:c r="B11" t="str">
        <x:v>Balikesir-Gonen</x:v>
      </x:c>
      <x:c r="C11" s="59" t="n">
        <x:v>251</x:v>
      </x:c>
      <x:c r="D11" t="str">
        <x:v>Yaklasik karayolu</x:v>
      </x:c>
      <x:c r="E11" s="61" t="str">
        <x:v>https://www.e-sehir.com/turkiye-haritasi/manisa-salihli_balikesir-gonen-yol-tarifi.html</x:v>
      </x:c>
      <x:c r="F11" t="str">
        <x:v>Ilce merkezleri; parsel/kamyon rotasi DEGIL</x:v>
      </x:c>
    </x:row>
    <x:row r="12">
      <x:c r="A12" t="str">
        <x:v>Akhisar</x:v>
      </x:c>
      <x:c r="B12" t="str">
        <x:v>Bursa-Mustafakemalpasa</x:v>
      </x:c>
      <x:c r="C12" s="59" t="n">
        <x:v>174</x:v>
      </x:c>
      <x:c r="D12" t="str">
        <x:v>Yaklasik karayolu</x:v>
      </x:c>
      <x:c r="E12" s="61" t="str">
        <x:v>https://fromtodistance.com/akhisar-to-mustafakemalpasa/</x:v>
      </x:c>
      <x:c r="F12" t="str">
        <x:v>Ilce merkezleri; parsel/kamyon rotasi DEGIL</x:v>
      </x:c>
    </x:row>
    <x:row r="13">
      <x:c r="A13" t="str">
        <x:v>Akhisar</x:v>
      </x:c>
      <x:c r="B13" t="str">
        <x:v>Manisa-Salihli</x:v>
      </x:c>
      <x:c r="C13" s="59" t="n">
        <x:v>63</x:v>
      </x:c>
      <x:c r="D13" t="str">
        <x:v>Yaklasik karayolu</x:v>
      </x:c>
      <x:c r="E13" s="61" t="str">
        <x:v>https://www.rome2rio.com/s/Akhisar/Salihli</x:v>
      </x:c>
      <x:c r="F13" t="str">
        <x:v>Ilce merkezleri; parsel/kamyon rotasi DEGIL</x:v>
      </x:c>
    </x:row>
    <x:row r="14">
      <x:c r="A14" t="str">
        <x:v>Akhisar</x:v>
      </x:c>
      <x:c r="B14" t="str">
        <x:v>Balikesir-Gonen</x:v>
      </x:c>
      <x:c r="C14" s="59" t="n">
        <x:v>203</x:v>
      </x:c>
      <x:c r="D14" t="str">
        <x:v>Yaklasik karayolu</x:v>
      </x:c>
      <x:c r="E14" s="61" t="str">
        <x:v>https://kmhesaplama.com/manisa-akhisar-gonen-balikesir-arasi-kac-km/</x:v>
      </x:c>
      <x:c r="F14" t="str">
        <x:v>Ilce merkezleri; parsel/kamyon rotasi DEGIL</x:v>
      </x:c>
    </x:row>
    <x:row r="15">
      <x:c r="A15" t="str">
        <x:v>Susurluk</x:v>
      </x:c>
      <x:c r="B15" t="str">
        <x:v>Bursa-Mustafakemalpasa</x:v>
      </x:c>
      <x:c r="C15" s="59" t="n">
        <x:v>32</x:v>
      </x:c>
      <x:c r="D15" t="str">
        <x:v>Yaklasik karayolu</x:v>
      </x:c>
      <x:c r="E15" s="61" t="str">
        <x:v>https://www.rotayolplanlama.com/susurluk_mustafakemalpasa-arasi-guzergah-tarifi.html</x:v>
      </x:c>
      <x:c r="F15" t="str">
        <x:v>Ilce merkezleri; parsel/kamyon rotasi DEGIL</x:v>
      </x:c>
    </x:row>
    <x:row r="16">
      <x:c r="A16" t="str">
        <x:v>Susurluk</x:v>
      </x:c>
      <x:c r="B16" t="str">
        <x:v>Manisa-Salihli</x:v>
      </x:c>
      <x:c r="C16" s="59" t="n">
        <x:v>196</x:v>
      </x:c>
      <x:c r="D16" t="str">
        <x:v>Yaklasik karayolu</x:v>
      </x:c>
      <x:c r="E16" s="61" t="str">
        <x:v>https://arasikac.com/susurluk-salihli-arasi-kac-km-saat/</x:v>
      </x:c>
      <x:c r="F16" t="str">
        <x:v>Ilce merkezleri; parsel/kamyon rotasi DEGIL</x:v>
      </x:c>
    </x:row>
    <x:row r="17">
      <x:c r="A17" t="str">
        <x:v>Susurluk</x:v>
      </x:c>
      <x:c r="B17" t="str">
        <x:v>Balikesir-Gonen</x:v>
      </x:c>
      <x:c r="C17" s="59" t="n">
        <x:v>72</x:v>
      </x:c>
      <x:c r="D17" t="str">
        <x:v>Yaklasik karayolu</x:v>
      </x:c>
      <x:c r="E17" s="61" t="str">
        <x:v>https://kmhesaplama.com/balikesir-gonen-susurluk-arasi-kac-km/</x:v>
      </x:c>
      <x:c r="F17" t="str">
        <x:v>Ilce merkezleri; parsel/kamyon rotasi DEGIL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2" hidden="0" customWidth="1"/>
    <x:col min="5" max="5" width="18" hidden="0" customWidth="1"/>
    <x:col min="6" max="6" width="60" hidden="0" customWidth="1"/>
    <x:col min="7" max="7" width="48" hidden="0" customWidth="1"/>
  </x:cols>
  <x:sheetData>
    <x:row r="1" ht="32" customHeight="1">
      <x:c r="A1" s="54" t="str">
        <x:v>TEDARIK BOLGELERI: FIYAT VE KAPASITE SENARYOSU</x:v>
      </x:c>
      <x:c r="B1" s="54"/>
      <x:c r="C1" s="54"/>
      <x:c r="D1" s="54"/>
      <x:c r="E1" s="54"/>
      <x:c r="F1" s="54"/>
      <x:c r="G1" s="54"/>
    </x:row>
    <x:row r="2" ht="30" customHeight="1">
      <x:c r="A2" s="57" t="str">
        <x:v>Bu miktar/fiyatlar tedarikci teklifi veya ilce uretim istatistigi DEGILDIR; her hucre gercek teklif geldiginde degistirilmeli.</x:v>
      </x:c>
      <x:c r="B2" s="57"/>
      <x:c r="C2" s="57"/>
      <x:c r="D2" s="57"/>
      <x:c r="E2" s="57"/>
      <x:c r="F2" s="57"/>
      <x:c r="G2" s="57"/>
    </x:row>
    <x:row r="5" ht="25" customHeight="1">
      <x:c r="A5" s="58" t="str">
        <x:v>Urun</x:v>
      </x:c>
      <x:c r="B5" s="58" t="str">
        <x:v>Kaynak ilce</x:v>
      </x:c>
      <x:c r="C5" s="58" t="str">
        <x:v>Max t/yil (ornek)</x:v>
      </x:c>
      <x:c r="D5" s="58" t="str">
        <x:v>Tedarik TL/ton (ornek)</x:v>
      </x:c>
      <x:c r="E5" s="58" t="str">
        <x:v>Kaniti</x:v>
      </x:c>
      <x:c r="F5" s="58" t="str">
        <x:v>Uretim bolgesi kaynagi</x:v>
      </x:c>
      <x:c r="G5" s="58" t="str">
        <x:v>Aciklama</x:v>
      </x:c>
    </x:row>
    <x:row r="6">
      <x:c r="A6" t="str">
        <x:v>Kapya biber</x:v>
      </x:c>
      <x:c r="B6" t="str">
        <x:v>Karacabey</x:v>
      </x:c>
      <x:c r="C6" s="60" t="n">
        <x:v>1600</x:v>
      </x:c>
      <x:c r="D6" s="60" t="n">
        <x:v>18000</x:v>
      </x:c>
      <x:c r="E6" t="str">
        <x:v>TAMAMI VARSAYIM</x:v>
      </x:c>
      <x:c r="F6" t="str">
        <x:v>https://www.karacabeytb.org.tr/inc/KTB_stratejik_plan4.pdf</x:v>
      </x:c>
      <x:c r="G6" t="str">
        <x:v>Bolge varligi, alis kapasitesi kaniti DEGIL</x:v>
      </x:c>
    </x:row>
    <x:row r="7">
      <x:c r="A7" t="str">
        <x:v>Kapya biber</x:v>
      </x:c>
      <x:c r="B7" t="str">
        <x:v>Salihli</x:v>
      </x:c>
      <x:c r="C7" s="60" t="n">
        <x:v>1600</x:v>
      </x:c>
      <x:c r="D7" s="60" t="n">
        <x:v>17500</x:v>
      </x:c>
      <x:c r="E7" t="str">
        <x:v>TAMAMI VARSAYIM</x:v>
      </x:c>
      <x:c r="F7" t="str">
        <x:v>https://manisa.tarimorman.gov.tr/Haber/814/Manisada-Domates-Dikimi-Basladi</x:v>
      </x:c>
      <x:c r="G7" t="str">
        <x:v>Ilce bazli biber teklifi HENUZ teyit edilmedi</x:v>
      </x:c>
    </x:row>
    <x:row r="8">
      <x:c r="A8" t="str">
        <x:v>Kapya biber</x:v>
      </x:c>
      <x:c r="B8" t="str">
        <x:v>Akhisar</x:v>
      </x:c>
      <x:c r="C8" s="60" t="n">
        <x:v>600</x:v>
      </x:c>
      <x:c r="D8" s="60" t="n">
        <x:v>17800</x:v>
      </x:c>
      <x:c r="E8" t="str">
        <x:v>TAMAMI VARSAYIM</x:v>
      </x:c>
      <x:c r="F8" t="str">
        <x:v>https://manisa.tarimorman.gov.tr/Haber/814/Manisada-Domates-Dikimi-Basladi</x:v>
      </x:c>
      <x:c r="G8" t="str">
        <x:v>Ilce bazli biber teklifi HENUZ teyit edilmedi</x:v>
      </x:c>
    </x:row>
    <x:row r="9">
      <x:c r="A9" t="str">
        <x:v>Kapya biber</x:v>
      </x:c>
      <x:c r="B9" t="str">
        <x:v>Susurluk</x:v>
      </x:c>
      <x:c r="C9" s="60" t="n">
        <x:v>1000</x:v>
      </x:c>
      <x:c r="D9" s="60" t="n">
        <x:v>18100</x:v>
      </x:c>
      <x:c r="E9" t="str">
        <x:v>TAMAMI VARSAYIM</x:v>
      </x:c>
      <x:c r="F9" t="str">
        <x:v>https://balikesir.gov.tr/sofradaki-balikesir</x:v>
      </x:c>
      <x:c r="G9" t="str">
        <x:v>Bolge varligi, alis kapasitesi kaniti DEGIL</x:v>
      </x:c>
    </x:row>
    <x:row r="10">
      <x:c r="A10" t="str">
        <x:v>Salcalik domates</x:v>
      </x:c>
      <x:c r="B10" t="str">
        <x:v>Karacabey</x:v>
      </x:c>
      <x:c r="C10" s="60" t="n">
        <x:v>1800</x:v>
      </x:c>
      <x:c r="D10" s="60" t="n">
        <x:v>8000</x:v>
      </x:c>
      <x:c r="E10" t="str">
        <x:v>TAMAMI VARSAYIM</x:v>
      </x:c>
      <x:c r="F10" t="str">
        <x:v>https://www.karacabeytb.org.tr/inc/KTB_stratejik_plan4.pdf</x:v>
      </x:c>
      <x:c r="G10" t="str">
        <x:v>Bolge varligi, alis kapasitesi kaniti DEGIL</x:v>
      </x:c>
    </x:row>
    <x:row r="11">
      <x:c r="A11" t="str">
        <x:v>Salcalik domates</x:v>
      </x:c>
      <x:c r="B11" t="str">
        <x:v>Salihli</x:v>
      </x:c>
      <x:c r="C11" s="60" t="n">
        <x:v>1100</x:v>
      </x:c>
      <x:c r="D11" s="60" t="n">
        <x:v>7800</x:v>
      </x:c>
      <x:c r="E11" t="str">
        <x:v>TAMAMI VARSAYIM</x:v>
      </x:c>
      <x:c r="F11" t="str">
        <x:v>https://manisa.tarimorman.gov.tr/Haber/814/Manisada-Domates-Dikimi-Basladi</x:v>
      </x:c>
      <x:c r="G11" t="str">
        <x:v>Bolge varligi, alis kapasitesi kaniti DEGIL</x:v>
      </x:c>
    </x:row>
    <x:row r="12">
      <x:c r="A12" t="str">
        <x:v>Salcalik domates</x:v>
      </x:c>
      <x:c r="B12" t="str">
        <x:v>Akhisar</x:v>
      </x:c>
      <x:c r="C12" s="60" t="n">
        <x:v>1200</x:v>
      </x:c>
      <x:c r="D12" s="60" t="n">
        <x:v>8100</x:v>
      </x:c>
      <x:c r="E12" t="str">
        <x:v>TAMAMI VARSAYIM</x:v>
      </x:c>
      <x:c r="F12" t="str">
        <x:v>https://manisa.tarimorman.gov.tr/Haber/814/Manisada-Domates-Dikimi-Basladi</x:v>
      </x:c>
      <x:c r="G12" t="str">
        <x:v>Bolge varligi, alis kapasitesi kaniti DEGIL</x:v>
      </x:c>
    </x:row>
    <x:row r="13">
      <x:c r="A13" t="str">
        <x:v>Salcalik domates</x:v>
      </x:c>
      <x:c r="B13" t="str">
        <x:v>Susurluk</x:v>
      </x:c>
      <x:c r="C13" s="60" t="n">
        <x:v>1200</x:v>
      </x:c>
      <x:c r="D13" s="60" t="n">
        <x:v>8150</x:v>
      </x:c>
      <x:c r="E13" t="str">
        <x:v>TAMAMI VARSAYIM</x:v>
      </x:c>
      <x:c r="F13" t="str">
        <x:v>https://balikesir.gov.tr/sofradaki-balikesir</x:v>
      </x:c>
      <x:c r="G13" t="str">
        <x:v>Bolge varligi, alis kapasitesi kaniti DEGIL</x:v>
      </x:c>
    </x:row>
    <x:row r="14">
      <x:c r="A14" t="str">
        <x:v>Patlican</x:v>
      </x:c>
      <x:c r="B14" t="str">
        <x:v>Karacabey</x:v>
      </x:c>
      <x:c r="C14" s="60" t="n">
        <x:v>350</x:v>
      </x:c>
      <x:c r="D14" s="60" t="n">
        <x:v>16000</x:v>
      </x:c>
      <x:c r="E14" t="str">
        <x:v>TAMAMI VARSAYIM</x:v>
      </x:c>
      <x:c r="F14" t="str">
        <x:v>https://www.karacabeytb.org.tr/inc/KTB_stratejik_plan4.pdf</x:v>
      </x:c>
      <x:c r="G14" t="str">
        <x:v>Ilce bazli patlican tedariki HENUZ teyit edilmedi</x:v>
      </x:c>
    </x:row>
    <x:row r="15">
      <x:c r="A15" t="str">
        <x:v>Patlican</x:v>
      </x:c>
      <x:c r="B15" t="str">
        <x:v>Salihli</x:v>
      </x:c>
      <x:c r="C15" s="60" t="n">
        <x:v>450</x:v>
      </x:c>
      <x:c r="D15" s="60" t="n">
        <x:v>15500</x:v>
      </x:c>
      <x:c r="E15" t="str">
        <x:v>TAMAMI VARSAYIM</x:v>
      </x:c>
      <x:c r="F15" t="str">
        <x:v>https://manisa.tarimorman.gov.tr/Haber/814/Manisada-Domates-Dikimi-Basladi</x:v>
      </x:c>
      <x:c r="G15" t="str">
        <x:v>Ilce bazli patlican tedariki HENUZ teyit edilmedi</x:v>
      </x:c>
    </x:row>
    <x:row r="16">
      <x:c r="A16" t="str">
        <x:v>Patlican</x:v>
      </x:c>
      <x:c r="B16" t="str">
        <x:v>Akhisar</x:v>
      </x:c>
      <x:c r="C16" s="60" t="n">
        <x:v>400</x:v>
      </x:c>
      <x:c r="D16" s="60" t="n">
        <x:v>15800</x:v>
      </x:c>
      <x:c r="E16" t="str">
        <x:v>TAMAMI VARSAYIM</x:v>
      </x:c>
      <x:c r="F16" t="str">
        <x:v>https://manisa.tarimorman.gov.tr/Haber/814/Manisada-Domates-Dikimi-Basladi</x:v>
      </x:c>
      <x:c r="G16" t="str">
        <x:v>Ilce bazli patlican tedariki HENUZ teyit edilmedi</x:v>
      </x:c>
    </x:row>
    <x:row r="17">
      <x:c r="A17" t="str">
        <x:v>Patlican</x:v>
      </x:c>
      <x:c r="B17" t="str">
        <x:v>Susurluk</x:v>
      </x:c>
      <x:c r="C17" s="60" t="n">
        <x:v>450</x:v>
      </x:c>
      <x:c r="D17" s="60" t="n">
        <x:v>16200</x:v>
      </x:c>
      <x:c r="E17" t="str">
        <x:v>TAMAMI VARSAYIM</x:v>
      </x:c>
      <x:c r="F17" t="str">
        <x:v>https://balikesir.gov.tr/sofradaki-balikesir</x:v>
      </x:c>
      <x:c r="G17" t="str">
        <x:v>Ilce bazli patlican tedariki HENUZ teyit edilmedi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23" hidden="0" customWidth="1"/>
    <x:col min="3" max="3" width="71" hidden="0" customWidth="1"/>
    <x:col min="4" max="4" width="60" hidden="0" customWidth="1"/>
  </x:cols>
  <x:sheetData>
    <x:row r="1" ht="32" customHeight="1">
      <x:c r="A1" s="54" t="str">
        <x:v>TEDARIK MODELI KONTROL PANELI</x:v>
      </x:c>
      <x:c r="B1" s="54"/>
      <x:c r="C1" s="54"/>
      <x:c r="D1" s="54"/>
    </x:row>
    <x:row r="2" ht="30" customHeight="1">
      <x:c r="A2" s="57" t="str">
        <x:v>Mavi rakamlar degistirilebilir. Diger calisma sayfalarindaki bagli formul sonuclari otomatik guncellenir; OPT AKIS atamalari Python ile yeniden hesaplanmalidir.</x:v>
      </x:c>
      <x:c r="B2" s="57"/>
      <x:c r="C2" s="57"/>
      <x:c r="D2" s="57"/>
    </x:row>
    <x:row r="5" ht="25" customHeight="1">
      <x:c r="A5" s="58" t="str">
        <x:v>Degisken</x:v>
      </x:c>
      <x:c r="B5" s="58" t="str">
        <x:v>Deger</x:v>
      </x:c>
      <x:c r="C5" s="58" t="str">
        <x:v>Birim / aciklama</x:v>
      </x:c>
      <x:c r="D5" s="58" t="str">
        <x:v>Kaynak / Kanit</x:v>
      </x:c>
    </x:row>
    <x:row r="6">
      <x:c r="A6" t="str">
        <x:v>Kamyon navlun katsayisi</x:v>
      </x:c>
      <x:c r="B6" s="65" t="n">
        <x:v>4</x:v>
      </x:c>
      <x:c r="C6" t="str">
        <x:v>TL / ton-km · gercek piyasa navlunu DEGIL</x:v>
      </x:c>
      <x:c r="D6" t="str">
        <x:v>SENARYO; nakliyeci teklifine donustur</x:v>
      </x:c>
    </x:row>
    <x:row r="7">
      <x:c r="A7" t="str">
        <x:v>Yukleme/ellecleme</x:v>
      </x:c>
      <x:c r="B7" s="65" t="n">
        <x:v>250</x:v>
      </x:c>
      <x:c r="C7" t="str">
        <x:v>TL / sevk edilen ton; tum bolgeler ortak ornek</x:v>
      </x:c>
      <x:c r="D7" t="str">
        <x:v>SENARYO</x:v>
      </x:c>
    </x:row>
    <x:row r="8">
      <x:c r="A8" t="str">
        <x:v>Arac yuk kapasitesi</x:v>
      </x:c>
      <x:c r="B8" s="65" t="n">
        <x:v>20</x:v>
      </x:c>
      <x:c r="C8" t="str">
        <x:v>ton / arac; sevk sayisi ihtiyac hesabinda</x:v>
      </x:c>
      <x:c r="D8" t="str">
        <x:v>SENARYO</x:v>
      </x:c>
    </x:row>
    <x:row r="9">
      <x:c r="A9" t="str">
        <x:v>Uretim esdeger gun</x:v>
      </x:c>
      <x:c r="B9" s="66" t="n">
        <x:f>GIRDILER!B5</x:f>
        <x:v>250</x:v>
      </x:c>
      <x:c r="C9" t="str">
        <x:v>gun/yil; model ana girdisi</x:v>
      </x:c>
      <x:c r="D9" t="str">
        <x:v>GIRDILER!B5</x:v>
      </x:c>
    </x:row>
    <x:row r="10">
      <x:c r="A10" t="str">
        <x:v>Yillik bitmis urun</x:v>
      </x:c>
      <x:c r="B10" s="66" t="n">
        <x:f>RECETE!B18</x:f>
        <x:v>2500000</x:v>
      </x:c>
      <x:c r="C10" t="str">
        <x:v>kg/yil; RECETE sayfasindan</x:v>
      </x:c>
      <x:c r="D10" t="str">
        <x:v>RECETE!B18</x:v>
      </x:c>
    </x:row>
    <x:row r="11">
      <x:c r="A11" t="str">
        <x:v>Kapya biber ihtiyaci</x:v>
      </x:c>
      <x:c r="B11" s="66" t="n">
        <x:f>RECETE!B23</x:f>
        <x:v>3000</x:v>
      </x:c>
      <x:c r="C11" t="str">
        <x:v>ton/yil; RECETE sayfasindan</x:v>
      </x:c>
      <x:c r="D11" t="str">
        <x:v>RECETE!B23</x:v>
      </x:c>
    </x:row>
    <x:row r="12">
      <x:c r="A12" t="str">
        <x:v>Salcalik domates ihtiyaci</x:v>
      </x:c>
      <x:c r="B12" s="66" t="n">
        <x:f>RECETE!B24</x:f>
        <x:v>2125</x:v>
      </x:c>
      <x:c r="C12" t="str">
        <x:v>ton/yil; RECETE sayfasindan</x:v>
      </x:c>
      <x:c r="D12" t="str">
        <x:v>RECETE!B24</x:v>
      </x:c>
    </x:row>
    <x:row r="13">
      <x:c r="A13" t="str">
        <x:v>Patlican ihtiyaci</x:v>
      </x:c>
      <x:c r="B13" s="66" t="n">
        <x:f>RECETE!B25</x:f>
        <x:v>700.0000000000001</x:v>
      </x:c>
      <x:c r="C13" t="str">
        <x:v>ton/yil; RECETE sayfasindan</x:v>
      </x:c>
      <x:c r="D13" t="str">
        <x:v>RECETE!B25</x:v>
      </x:c>
    </x:row>
    <x:row r="14">
      <x:c r="A14" t="str">
        <x:v>Sarmisak/yag/baharat/tuz/sirke</x:v>
      </x:c>
      <x:c r="B14" s="66" t="n">
        <x:f>SUM(RECETE!C26:C30)</x:f>
        <x:v>28395000</x:v>
      </x:c>
      <x:c r="C14" t="str">
        <x:v>TL/yil; mevcut RECETE maliyeti, transport HARIC</x:v>
      </x:c>
      <x:c r="D14" t="str">
        <x:v>RECETE!C26:C30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19" hidden="0" customWidth="1"/>
    <x:col min="5" max="5" width="15" hidden="0" customWidth="1"/>
    <x:col min="6" max="6" width="18" hidden="0" customWidth="1"/>
    <x:col min="7" max="7" width="23" hidden="0" customWidth="1"/>
    <x:col min="8" max="8" width="23" hidden="0" customWidth="1"/>
    <x:col min="9" max="9" width="20" hidden="0" customWidth="1"/>
    <x:col min="10" max="10" width="24" hidden="0" customWidth="1"/>
    <x:col min="11" max="11" width="17" hidden="0" customWidth="1"/>
    <x:col min="12" max="12" width="20" hidden="0" customWidth="1"/>
  </x:cols>
  <x:sheetData>
    <x:row r="1" ht="32" customHeight="1">
      <x:c r="A1" s="54" t="str">
        <x:v>MINIMUM MALIYETLI TEDARIK DAGITIMI - LP SENARYOSU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 ht="30" customHeight="1">
      <x:c r="A2" s="57" t="str">
        <x:v>Tahsis edilen tonlar Python (scipy.linprog) cikti anlik goruntusudur; fiyat/kapasite/mesafe degisince kodu yeniden calistir. Tum tutarlar TL.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</x:row>
    <x:row r="5" ht="25" customHeight="1">
      <x:c r="A5" s="58" t="str">
        <x:v>Aday OSB</x:v>
      </x:c>
      <x:c r="B5" s="58" t="str">
        <x:v>Malzeme</x:v>
      </x:c>
      <x:c r="C5" s="58" t="str">
        <x:v>Kaynak</x:v>
      </x:c>
      <x:c r="D5" s="58" t="str">
        <x:v>LP tahsisi (ton/yil)</x:v>
      </x:c>
      <x:c r="E5" s="58" t="str">
        <x:v>Tek yon km</x:v>
      </x:c>
      <x:c r="F5" s="58" t="str">
        <x:v>Fiyat TL/ton</x:v>
      </x:c>
      <x:c r="G5" s="58" t="str">
        <x:v>Alis maliyeti TL</x:v>
      </x:c>
      <x:c r="H5" s="58" t="str">
        <x:v>Navlun TL</x:v>
      </x:c>
      <x:c r="I5" s="58" t="str">
        <x:v>Yukleme TL</x:v>
      </x:c>
      <x:c r="J5" s="58" t="str">
        <x:v>Tedarik toplam TL</x:v>
      </x:c>
      <x:c r="K5" s="58" t="str">
        <x:v>Ton-km</x:v>
      </x:c>
      <x:c r="L5" s="58" t="str">
        <x:v>Mesafe turu</x:v>
      </x:c>
    </x:row>
    <x:row r="6">
      <x:c r="A6" t="str">
        <x:v>Bursa-Mustafakemalpasa</x:v>
      </x:c>
      <x:c r="B6" t="str">
        <x:v>Kapya biber</x:v>
      </x:c>
      <x:c r="C6" t="str">
        <x:v>Karacabey</x:v>
      </x:c>
      <x:c r="D6" s="69" t="n">
        <x:v>1600</x:v>
      </x:c>
      <x:c r="E6" s="66" t="n">
        <x:f>LOJ_MESAFE!C6</x:f>
        <x:v>24</x:v>
      </x:c>
      <x:c r="F6" s="66" t="n">
        <x:f>LOJ_TEKLIF!D6</x:f>
        <x:v>18000</x:v>
      </x:c>
      <x:c r="G6" s="27" t="n">
        <x:f>D6*F6</x:f>
        <x:v>28800000</x:v>
      </x:c>
      <x:c r="H6" s="27" t="n">
        <x:f>D6*E6*LOJ_PARAM!$B$6</x:f>
        <x:v>153600</x:v>
      </x:c>
      <x:c r="I6" s="27" t="n">
        <x:f>D6*LOJ_PARAM!$B$7</x:f>
        <x:v>400000</x:v>
      </x:c>
      <x:c r="J6" s="27" t="n">
        <x:f>SUM(G6:I6)</x:f>
        <x:v>29353600</x:v>
      </x:c>
      <x:c r="K6" s="27" t="n">
        <x:f>D6*E6</x:f>
        <x:v>38400</x:v>
      </x:c>
      <x:c r="L6" t="str">
        <x:f>LOJ_MESAFE!D6</x:f>
        <x:v>Yaklasik karayolu</x:v>
      </x:c>
    </x:row>
    <x:row r="7">
      <x:c r="A7" t="str">
        <x:v>Bursa-Mustafakemalpasa</x:v>
      </x:c>
      <x:c r="B7" t="str">
        <x:v>Kapya biber</x:v>
      </x:c>
      <x:c r="C7" t="str">
        <x:v>Salihli</x:v>
      </x:c>
      <x:c r="D7" s="69" t="n">
        <x:v>400</x:v>
      </x:c>
      <x:c r="E7" s="66" t="n">
        <x:f>LOJ_MESAFE!C9</x:f>
        <x:v>226</x:v>
      </x:c>
      <x:c r="F7" s="66" t="n">
        <x:f>LOJ_TEKLIF!D7</x:f>
        <x:v>17500</x:v>
      </x:c>
      <x:c r="G7" s="27" t="n">
        <x:f>D7*F7</x:f>
        <x:v>7000000</x:v>
      </x:c>
      <x:c r="H7" s="27" t="n">
        <x:f>D7*E7*LOJ_PARAM!$B$6</x:f>
        <x:v>361600</x:v>
      </x:c>
      <x:c r="I7" s="27" t="n">
        <x:f>D7*LOJ_PARAM!$B$7</x:f>
        <x:v>100000</x:v>
      </x:c>
      <x:c r="J7" s="27" t="n">
        <x:f>SUM(G7:I7)</x:f>
        <x:v>7461600</x:v>
      </x:c>
      <x:c r="K7" s="27" t="n">
        <x:f>D7*E7</x:f>
        <x:v>90400</x:v>
      </x:c>
      <x:c r="L7" t="str">
        <x:f>LOJ_MESAFE!D9</x:f>
        <x:v>Yaklasik karayolu</x:v>
      </x:c>
    </x:row>
    <x:row r="8">
      <x:c r="A8" t="str">
        <x:v>Bursa-Mustafakemalpasa</x:v>
      </x:c>
      <x:c r="B8" t="str">
        <x:v>Kapya biber</x:v>
      </x:c>
      <x:c r="C8" t="str">
        <x:v>Akhisar</x:v>
      </x:c>
      <x:c r="D8" s="69" t="n">
        <x:v>0</x:v>
      </x:c>
      <x:c r="E8" s="66" t="n">
        <x:f>LOJ_MESAFE!C12</x:f>
        <x:v>174</x:v>
      </x:c>
      <x:c r="F8" s="66" t="n">
        <x:f>LOJ_TEKLIF!D8</x:f>
        <x:v>17800</x:v>
      </x:c>
      <x:c r="G8" s="27" t="n">
        <x:f>D8*F8</x:f>
        <x:v>0</x:v>
      </x:c>
      <x:c r="H8" s="27" t="n">
        <x:f>D8*E8*LOJ_PARAM!$B$6</x:f>
        <x:v>0</x:v>
      </x:c>
      <x:c r="I8" s="27" t="n">
        <x:f>D8*LOJ_PARAM!$B$7</x:f>
        <x:v>0</x:v>
      </x:c>
      <x:c r="J8" s="27" t="n">
        <x:f>SUM(G8:I8)</x:f>
        <x:v>0</x:v>
      </x:c>
      <x:c r="K8" s="27" t="n">
        <x:f>D8*E8</x:f>
        <x:v>0</x:v>
      </x:c>
      <x:c r="L8" t="str">
        <x:f>LOJ_MESAFE!D12</x:f>
        <x:v>Yaklasik karayolu</x:v>
      </x:c>
    </x:row>
    <x:row r="9">
      <x:c r="A9" t="str">
        <x:v>Bursa-Mustafakemalpasa</x:v>
      </x:c>
      <x:c r="B9" t="str">
        <x:v>Kapya biber</x:v>
      </x:c>
      <x:c r="C9" t="str">
        <x:v>Susurluk</x:v>
      </x:c>
      <x:c r="D9" s="69" t="n">
        <x:v>1000</x:v>
      </x:c>
      <x:c r="E9" s="66" t="n">
        <x:f>LOJ_MESAFE!C15</x:f>
        <x:v>32</x:v>
      </x:c>
      <x:c r="F9" s="66" t="n">
        <x:f>LOJ_TEKLIF!D9</x:f>
        <x:v>18100</x:v>
      </x:c>
      <x:c r="G9" s="27" t="n">
        <x:f>D9*F9</x:f>
        <x:v>18100000</x:v>
      </x:c>
      <x:c r="H9" s="27" t="n">
        <x:f>D9*E9*LOJ_PARAM!$B$6</x:f>
        <x:v>128000</x:v>
      </x:c>
      <x:c r="I9" s="27" t="n">
        <x:f>D9*LOJ_PARAM!$B$7</x:f>
        <x:v>250000</x:v>
      </x:c>
      <x:c r="J9" s="27" t="n">
        <x:f>SUM(G9:I9)</x:f>
        <x:v>18478000</x:v>
      </x:c>
      <x:c r="K9" s="27" t="n">
        <x:f>D9*E9</x:f>
        <x:v>32000</x:v>
      </x:c>
      <x:c r="L9" t="str">
        <x:f>LOJ_MESAFE!D15</x:f>
        <x:v>Yaklasik karayolu</x:v>
      </x:c>
    </x:row>
    <x:row r="10">
      <x:c r="A10" t="str">
        <x:v>Bursa-Mustafakemalpasa</x:v>
      </x:c>
      <x:c r="B10" t="str">
        <x:v>Salcalik domates</x:v>
      </x:c>
      <x:c r="C10" t="str">
        <x:v>Karacabey</x:v>
      </x:c>
      <x:c r="D10" s="69" t="n">
        <x:v>1800</x:v>
      </x:c>
      <x:c r="E10" s="66" t="n">
        <x:f>LOJ_MESAFE!C6</x:f>
        <x:v>24</x:v>
      </x:c>
      <x:c r="F10" s="66" t="n">
        <x:f>LOJ_TEKLIF!D10</x:f>
        <x:v>8000</x:v>
      </x:c>
      <x:c r="G10" s="27" t="n">
        <x:f>D10*F10</x:f>
        <x:v>14400000</x:v>
      </x:c>
      <x:c r="H10" s="27" t="n">
        <x:f>D10*E10*LOJ_PARAM!$B$6</x:f>
        <x:v>172800</x:v>
      </x:c>
      <x:c r="I10" s="27" t="n">
        <x:f>D10*LOJ_PARAM!$B$7</x:f>
        <x:v>450000</x:v>
      </x:c>
      <x:c r="J10" s="27" t="n">
        <x:f>SUM(G10:I10)</x:f>
        <x:v>15022800</x:v>
      </x:c>
      <x:c r="K10" s="27" t="n">
        <x:f>D10*E10</x:f>
        <x:v>43200</x:v>
      </x:c>
      <x:c r="L10" t="str">
        <x:f>LOJ_MESAFE!D6</x:f>
        <x:v>Yaklasik karayolu</x:v>
      </x:c>
    </x:row>
    <x:row r="11">
      <x:c r="A11" t="str">
        <x:v>Bursa-Mustafakemalpasa</x:v>
      </x:c>
      <x:c r="B11" t="str">
        <x:v>Salcalik domates</x:v>
      </x:c>
      <x:c r="C11" t="str">
        <x:v>Salihli</x:v>
      </x:c>
      <x:c r="D11" s="69" t="n">
        <x:v>0</x:v>
      </x:c>
      <x:c r="E11" s="66" t="n">
        <x:f>LOJ_MESAFE!C9</x:f>
        <x:v>226</x:v>
      </x:c>
      <x:c r="F11" s="66" t="n">
        <x:f>LOJ_TEKLIF!D11</x:f>
        <x:v>7800</x:v>
      </x:c>
      <x:c r="G11" s="27" t="n">
        <x:f>D11*F11</x:f>
        <x:v>0</x:v>
      </x:c>
      <x:c r="H11" s="27" t="n">
        <x:f>D11*E11*LOJ_PARAM!$B$6</x:f>
        <x:v>0</x:v>
      </x:c>
      <x:c r="I11" s="27" t="n">
        <x:f>D11*LOJ_PARAM!$B$7</x:f>
        <x:v>0</x:v>
      </x:c>
      <x:c r="J11" s="27" t="n">
        <x:f>SUM(G11:I11)</x:f>
        <x:v>0</x:v>
      </x:c>
      <x:c r="K11" s="27" t="n">
        <x:f>D11*E11</x:f>
        <x:v>0</x:v>
      </x:c>
      <x:c r="L11" t="str">
        <x:f>LOJ_MESAFE!D9</x:f>
        <x:v>Yaklasik karayolu</x:v>
      </x:c>
    </x:row>
    <x:row r="12">
      <x:c r="A12" t="str">
        <x:v>Bursa-Mustafakemalpasa</x:v>
      </x:c>
      <x:c r="B12" t="str">
        <x:v>Salcalik domates</x:v>
      </x:c>
      <x:c r="C12" t="str">
        <x:v>Akhisar</x:v>
      </x:c>
      <x:c r="D12" s="69" t="n">
        <x:v>0</x:v>
      </x:c>
      <x:c r="E12" s="66" t="n">
        <x:f>LOJ_MESAFE!C12</x:f>
        <x:v>174</x:v>
      </x:c>
      <x:c r="F12" s="66" t="n">
        <x:f>LOJ_TEKLIF!D12</x:f>
        <x:v>8100</x:v>
      </x:c>
      <x:c r="G12" s="27" t="n">
        <x:f>D12*F12</x:f>
        <x:v>0</x:v>
      </x:c>
      <x:c r="H12" s="27" t="n">
        <x:f>D12*E12*LOJ_PARAM!$B$6</x:f>
        <x:v>0</x:v>
      </x:c>
      <x:c r="I12" s="27" t="n">
        <x:f>D12*LOJ_PARAM!$B$7</x:f>
        <x:v>0</x:v>
      </x:c>
      <x:c r="J12" s="27" t="n">
        <x:f>SUM(G12:I12)</x:f>
        <x:v>0</x:v>
      </x:c>
      <x:c r="K12" s="27" t="n">
        <x:f>D12*E12</x:f>
        <x:v>0</x:v>
      </x:c>
      <x:c r="L12" t="str">
        <x:f>LOJ_MESAFE!D12</x:f>
        <x:v>Yaklasik karayolu</x:v>
      </x:c>
    </x:row>
    <x:row r="13">
      <x:c r="A13" t="str">
        <x:v>Bursa-Mustafakemalpasa</x:v>
      </x:c>
      <x:c r="B13" t="str">
        <x:v>Salcalik domates</x:v>
      </x:c>
      <x:c r="C13" t="str">
        <x:v>Susurluk</x:v>
      </x:c>
      <x:c r="D13" s="69" t="n">
        <x:v>325</x:v>
      </x:c>
      <x:c r="E13" s="66" t="n">
        <x:f>LOJ_MESAFE!C15</x:f>
        <x:v>32</x:v>
      </x:c>
      <x:c r="F13" s="66" t="n">
        <x:f>LOJ_TEKLIF!D13</x:f>
        <x:v>8150</x:v>
      </x:c>
      <x:c r="G13" s="27" t="n">
        <x:f>D13*F13</x:f>
        <x:v>2648750</x:v>
      </x:c>
      <x:c r="H13" s="27" t="n">
        <x:f>D13*E13*LOJ_PARAM!$B$6</x:f>
        <x:v>41600</x:v>
      </x:c>
      <x:c r="I13" s="27" t="n">
        <x:f>D13*LOJ_PARAM!$B$7</x:f>
        <x:v>81250</x:v>
      </x:c>
      <x:c r="J13" s="27" t="n">
        <x:f>SUM(G13:I13)</x:f>
        <x:v>2771600</x:v>
      </x:c>
      <x:c r="K13" s="27" t="n">
        <x:f>D13*E13</x:f>
        <x:v>10400</x:v>
      </x:c>
      <x:c r="L13" t="str">
        <x:f>LOJ_MESAFE!D15</x:f>
        <x:v>Yaklasik karayolu</x:v>
      </x:c>
    </x:row>
    <x:row r="14">
      <x:c r="A14" t="str">
        <x:v>Bursa-Mustafakemalpasa</x:v>
      </x:c>
      <x:c r="B14" t="str">
        <x:v>Patlican</x:v>
      </x:c>
      <x:c r="C14" t="str">
        <x:v>Karacabey</x:v>
      </x:c>
      <x:c r="D14" s="69" t="n">
        <x:v>350</x:v>
      </x:c>
      <x:c r="E14" s="66" t="n">
        <x:f>LOJ_MESAFE!C6</x:f>
        <x:v>24</x:v>
      </x:c>
      <x:c r="F14" s="66" t="n">
        <x:f>LOJ_TEKLIF!D14</x:f>
        <x:v>16000</x:v>
      </x:c>
      <x:c r="G14" s="27" t="n">
        <x:f>D14*F14</x:f>
        <x:v>5600000</x:v>
      </x:c>
      <x:c r="H14" s="27" t="n">
        <x:f>D14*E14*LOJ_PARAM!$B$6</x:f>
        <x:v>33600</x:v>
      </x:c>
      <x:c r="I14" s="27" t="n">
        <x:f>D14*LOJ_PARAM!$B$7</x:f>
        <x:v>87500</x:v>
      </x:c>
      <x:c r="J14" s="27" t="n">
        <x:f>SUM(G14:I14)</x:f>
        <x:v>5721100</x:v>
      </x:c>
      <x:c r="K14" s="27" t="n">
        <x:f>D14*E14</x:f>
        <x:v>8400</x:v>
      </x:c>
      <x:c r="L14" t="str">
        <x:f>LOJ_MESAFE!D6</x:f>
        <x:v>Yaklasik karayolu</x:v>
      </x:c>
    </x:row>
    <x:row r="15">
      <x:c r="A15" t="str">
        <x:v>Bursa-Mustafakemalpasa</x:v>
      </x:c>
      <x:c r="B15" t="str">
        <x:v>Patlican</x:v>
      </x:c>
      <x:c r="C15" t="str">
        <x:v>Salihli</x:v>
      </x:c>
      <x:c r="D15" s="69" t="n">
        <x:v>0</x:v>
      </x:c>
      <x:c r="E15" s="66" t="n">
        <x:f>LOJ_MESAFE!C9</x:f>
        <x:v>226</x:v>
      </x:c>
      <x:c r="F15" s="66" t="n">
        <x:f>LOJ_TEKLIF!D15</x:f>
        <x:v>15500</x:v>
      </x:c>
      <x:c r="G15" s="27" t="n">
        <x:f>D15*F15</x:f>
        <x:v>0</x:v>
      </x:c>
      <x:c r="H15" s="27" t="n">
        <x:f>D15*E15*LOJ_PARAM!$B$6</x:f>
        <x:v>0</x:v>
      </x:c>
      <x:c r="I15" s="27" t="n">
        <x:f>D15*LOJ_PARAM!$B$7</x:f>
        <x:v>0</x:v>
      </x:c>
      <x:c r="J15" s="27" t="n">
        <x:f>SUM(G15:I15)</x:f>
        <x:v>0</x:v>
      </x:c>
      <x:c r="K15" s="27" t="n">
        <x:f>D15*E15</x:f>
        <x:v>0</x:v>
      </x:c>
      <x:c r="L15" t="str">
        <x:f>LOJ_MESAFE!D9</x:f>
        <x:v>Yaklasik karayolu</x:v>
      </x:c>
    </x:row>
    <x:row r="16">
      <x:c r="A16" t="str">
        <x:v>Bursa-Mustafakemalpasa</x:v>
      </x:c>
      <x:c r="B16" t="str">
        <x:v>Patlican</x:v>
      </x:c>
      <x:c r="C16" t="str">
        <x:v>Akhisar</x:v>
      </x:c>
      <x:c r="D16" s="69" t="n">
        <x:v>0</x:v>
      </x:c>
      <x:c r="E16" s="66" t="n">
        <x:f>LOJ_MESAFE!C12</x:f>
        <x:v>174</x:v>
      </x:c>
      <x:c r="F16" s="66" t="n">
        <x:f>LOJ_TEKLIF!D16</x:f>
        <x:v>15800</x:v>
      </x:c>
      <x:c r="G16" s="27" t="n">
        <x:f>D16*F16</x:f>
        <x:v>0</x:v>
      </x:c>
      <x:c r="H16" s="27" t="n">
        <x:f>D16*E16*LOJ_PARAM!$B$6</x:f>
        <x:v>0</x:v>
      </x:c>
      <x:c r="I16" s="27" t="n">
        <x:f>D16*LOJ_PARAM!$B$7</x:f>
        <x:v>0</x:v>
      </x:c>
      <x:c r="J16" s="27" t="n">
        <x:f>SUM(G16:I16)</x:f>
        <x:v>0</x:v>
      </x:c>
      <x:c r="K16" s="27" t="n">
        <x:f>D16*E16</x:f>
        <x:v>0</x:v>
      </x:c>
      <x:c r="L16" t="str">
        <x:f>LOJ_MESAFE!D12</x:f>
        <x:v>Yaklasik karayolu</x:v>
      </x:c>
    </x:row>
    <x:row r="17">
      <x:c r="A17" t="str">
        <x:v>Bursa-Mustafakemalpasa</x:v>
      </x:c>
      <x:c r="B17" t="str">
        <x:v>Patlican</x:v>
      </x:c>
      <x:c r="C17" t="str">
        <x:v>Susurluk</x:v>
      </x:c>
      <x:c r="D17" s="69" t="n">
        <x:v>350</x:v>
      </x:c>
      <x:c r="E17" s="66" t="n">
        <x:f>LOJ_MESAFE!C15</x:f>
        <x:v>32</x:v>
      </x:c>
      <x:c r="F17" s="66" t="n">
        <x:f>LOJ_TEKLIF!D17</x:f>
        <x:v>16200</x:v>
      </x:c>
      <x:c r="G17" s="27" t="n">
        <x:f>D17*F17</x:f>
        <x:v>5670000</x:v>
      </x:c>
      <x:c r="H17" s="27" t="n">
        <x:f>D17*E17*LOJ_PARAM!$B$6</x:f>
        <x:v>44800</x:v>
      </x:c>
      <x:c r="I17" s="27" t="n">
        <x:f>D17*LOJ_PARAM!$B$7</x:f>
        <x:v>87500</x:v>
      </x:c>
      <x:c r="J17" s="27" t="n">
        <x:f>SUM(G17:I17)</x:f>
        <x:v>5802300</x:v>
      </x:c>
      <x:c r="K17" s="27" t="n">
        <x:f>D17*E17</x:f>
        <x:v>11200</x:v>
      </x:c>
      <x:c r="L17" t="str">
        <x:f>LOJ_MESAFE!D15</x:f>
        <x:v>Yaklasik karayolu</x:v>
      </x:c>
    </x:row>
    <x:row r="18">
      <x:c r="A18" t="str">
        <x:v>Manisa-Salihli</x:v>
      </x:c>
      <x:c r="B18" t="str">
        <x:v>Kapya biber</x:v>
      </x:c>
      <x:c r="C18" t="str">
        <x:v>Karacabey</x:v>
      </x:c>
      <x:c r="D18" s="69" t="n">
        <x:v>0</x:v>
      </x:c>
      <x:c r="E18" s="66" t="n">
        <x:f>LOJ_MESAFE!C7</x:f>
        <x:v>244</x:v>
      </x:c>
      <x:c r="F18" s="66" t="n">
        <x:f>LOJ_TEKLIF!D6</x:f>
        <x:v>18000</x:v>
      </x:c>
      <x:c r="G18" s="27" t="n">
        <x:f>D18*F18</x:f>
        <x:v>0</x:v>
      </x:c>
      <x:c r="H18" s="27" t="n">
        <x:f>D18*E18*LOJ_PARAM!$B$6</x:f>
        <x:v>0</x:v>
      </x:c>
      <x:c r="I18" s="27" t="n">
        <x:f>D18*LOJ_PARAM!$B$7</x:f>
        <x:v>0</x:v>
      </x:c>
      <x:c r="J18" s="27" t="n">
        <x:f>SUM(G18:I18)</x:f>
        <x:v>0</x:v>
      </x:c>
      <x:c r="K18" s="27" t="n">
        <x:f>D18*E18</x:f>
        <x:v>0</x:v>
      </x:c>
      <x:c r="L18" t="str">
        <x:f>LOJ_MESAFE!D7</x:f>
        <x:v>Yaklasik karayolu</x:v>
      </x:c>
    </x:row>
    <x:row r="19">
      <x:c r="A19" t="str">
        <x:v>Manisa-Salihli</x:v>
      </x:c>
      <x:c r="B19" t="str">
        <x:v>Kapya biber</x:v>
      </x:c>
      <x:c r="C19" t="str">
        <x:v>Salihli</x:v>
      </x:c>
      <x:c r="D19" s="69" t="n">
        <x:v>1600</x:v>
      </x:c>
      <x:c r="E19" s="66" t="n">
        <x:f>LOJ_MESAFE!C10</x:f>
        <x:v>12</x:v>
      </x:c>
      <x:c r="F19" s="66" t="n">
        <x:f>LOJ_TEKLIF!D7</x:f>
        <x:v>17500</x:v>
      </x:c>
      <x:c r="G19" s="27" t="n">
        <x:f>D19*F19</x:f>
        <x:v>28000000</x:v>
      </x:c>
      <x:c r="H19" s="27" t="n">
        <x:f>D19*E19*LOJ_PARAM!$B$6</x:f>
        <x:v>76800</x:v>
      </x:c>
      <x:c r="I19" s="27" t="n">
        <x:f>D19*LOJ_PARAM!$B$7</x:f>
        <x:v>400000</x:v>
      </x:c>
      <x:c r="J19" s="27" t="n">
        <x:f>SUM(G19:I19)</x:f>
        <x:v>28476800</x:v>
      </x:c>
      <x:c r="K19" s="27" t="n">
        <x:f>D19*E19</x:f>
        <x:v>19200</x:v>
      </x:c>
      <x:c r="L19" t="str">
        <x:f>LOJ_MESAFE!D10</x:f>
        <x:v>SENARYO</x:v>
      </x:c>
    </x:row>
    <x:row r="20">
      <x:c r="A20" t="str">
        <x:v>Manisa-Salihli</x:v>
      </x:c>
      <x:c r="B20" t="str">
        <x:v>Kapya biber</x:v>
      </x:c>
      <x:c r="C20" t="str">
        <x:v>Akhisar</x:v>
      </x:c>
      <x:c r="D20" s="69" t="n">
        <x:v>600</x:v>
      </x:c>
      <x:c r="E20" s="66" t="n">
        <x:f>LOJ_MESAFE!C13</x:f>
        <x:v>63</x:v>
      </x:c>
      <x:c r="F20" s="66" t="n">
        <x:f>LOJ_TEKLIF!D8</x:f>
        <x:v>17800</x:v>
      </x:c>
      <x:c r="G20" s="27" t="n">
        <x:f>D20*F20</x:f>
        <x:v>10680000</x:v>
      </x:c>
      <x:c r="H20" s="27" t="n">
        <x:f>D20*E20*LOJ_PARAM!$B$6</x:f>
        <x:v>151200</x:v>
      </x:c>
      <x:c r="I20" s="27" t="n">
        <x:f>D20*LOJ_PARAM!$B$7</x:f>
        <x:v>150000</x:v>
      </x:c>
      <x:c r="J20" s="27" t="n">
        <x:f>SUM(G20:I20)</x:f>
        <x:v>10981200</x:v>
      </x:c>
      <x:c r="K20" s="27" t="n">
        <x:f>D20*E20</x:f>
        <x:v>37800</x:v>
      </x:c>
      <x:c r="L20" t="str">
        <x:f>LOJ_MESAFE!D13</x:f>
        <x:v>Yaklasik karayolu</x:v>
      </x:c>
    </x:row>
    <x:row r="21">
      <x:c r="A21" t="str">
        <x:v>Manisa-Salihli</x:v>
      </x:c>
      <x:c r="B21" t="str">
        <x:v>Kapya biber</x:v>
      </x:c>
      <x:c r="C21" t="str">
        <x:v>Susurluk</x:v>
      </x:c>
      <x:c r="D21" s="69" t="n">
        <x:v>800</x:v>
      </x:c>
      <x:c r="E21" s="66" t="n">
        <x:f>LOJ_MESAFE!C16</x:f>
        <x:v>196</x:v>
      </x:c>
      <x:c r="F21" s="66" t="n">
        <x:f>LOJ_TEKLIF!D9</x:f>
        <x:v>18100</x:v>
      </x:c>
      <x:c r="G21" s="27" t="n">
        <x:f>D21*F21</x:f>
        <x:v>14480000</x:v>
      </x:c>
      <x:c r="H21" s="27" t="n">
        <x:f>D21*E21*LOJ_PARAM!$B$6</x:f>
        <x:v>627200</x:v>
      </x:c>
      <x:c r="I21" s="27" t="n">
        <x:f>D21*LOJ_PARAM!$B$7</x:f>
        <x:v>200000</x:v>
      </x:c>
      <x:c r="J21" s="27" t="n">
        <x:f>SUM(G21:I21)</x:f>
        <x:v>15307200</x:v>
      </x:c>
      <x:c r="K21" s="27" t="n">
        <x:f>D21*E21</x:f>
        <x:v>156800</x:v>
      </x:c>
      <x:c r="L21" t="str">
        <x:f>LOJ_MESAFE!D16</x:f>
        <x:v>Yaklasik karayolu</x:v>
      </x:c>
    </x:row>
    <x:row r="22">
      <x:c r="A22" t="str">
        <x:v>Manisa-Salihli</x:v>
      </x:c>
      <x:c r="B22" t="str">
        <x:v>Salcalik domates</x:v>
      </x:c>
      <x:c r="C22" t="str">
        <x:v>Karacabey</x:v>
      </x:c>
      <x:c r="D22" s="69" t="n">
        <x:v>0</x:v>
      </x:c>
      <x:c r="E22" s="66" t="n">
        <x:f>LOJ_MESAFE!C7</x:f>
        <x:v>244</x:v>
      </x:c>
      <x:c r="F22" s="66" t="n">
        <x:f>LOJ_TEKLIF!D10</x:f>
        <x:v>8000</x:v>
      </x:c>
      <x:c r="G22" s="27" t="n">
        <x:f>D22*F22</x:f>
        <x:v>0</x:v>
      </x:c>
      <x:c r="H22" s="27" t="n">
        <x:f>D22*E22*LOJ_PARAM!$B$6</x:f>
        <x:v>0</x:v>
      </x:c>
      <x:c r="I22" s="27" t="n">
        <x:f>D22*LOJ_PARAM!$B$7</x:f>
        <x:v>0</x:v>
      </x:c>
      <x:c r="J22" s="27" t="n">
        <x:f>SUM(G22:I22)</x:f>
        <x:v>0</x:v>
      </x:c>
      <x:c r="K22" s="27" t="n">
        <x:f>D22*E22</x:f>
        <x:v>0</x:v>
      </x:c>
      <x:c r="L22" t="str">
        <x:f>LOJ_MESAFE!D7</x:f>
        <x:v>Yaklasik karayolu</x:v>
      </x:c>
    </x:row>
    <x:row r="23">
      <x:c r="A23" t="str">
        <x:v>Manisa-Salihli</x:v>
      </x:c>
      <x:c r="B23" t="str">
        <x:v>Salcalik domates</x:v>
      </x:c>
      <x:c r="C23" t="str">
        <x:v>Salihli</x:v>
      </x:c>
      <x:c r="D23" s="69" t="n">
        <x:v>1100</x:v>
      </x:c>
      <x:c r="E23" s="66" t="n">
        <x:f>LOJ_MESAFE!C10</x:f>
        <x:v>12</x:v>
      </x:c>
      <x:c r="F23" s="66" t="n">
        <x:f>LOJ_TEKLIF!D11</x:f>
        <x:v>7800</x:v>
      </x:c>
      <x:c r="G23" s="27" t="n">
        <x:f>D23*F23</x:f>
        <x:v>8580000</x:v>
      </x:c>
      <x:c r="H23" s="27" t="n">
        <x:f>D23*E23*LOJ_PARAM!$B$6</x:f>
        <x:v>52800</x:v>
      </x:c>
      <x:c r="I23" s="27" t="n">
        <x:f>D23*LOJ_PARAM!$B$7</x:f>
        <x:v>275000</x:v>
      </x:c>
      <x:c r="J23" s="27" t="n">
        <x:f>SUM(G23:I23)</x:f>
        <x:v>8907800</x:v>
      </x:c>
      <x:c r="K23" s="27" t="n">
        <x:f>D23*E23</x:f>
        <x:v>13200</x:v>
      </x:c>
      <x:c r="L23" t="str">
        <x:f>LOJ_MESAFE!D10</x:f>
        <x:v>SENARYO</x:v>
      </x:c>
    </x:row>
    <x:row r="24">
      <x:c r="A24" t="str">
        <x:v>Manisa-Salihli</x:v>
      </x:c>
      <x:c r="B24" t="str">
        <x:v>Salcalik domates</x:v>
      </x:c>
      <x:c r="C24" t="str">
        <x:v>Akhisar</x:v>
      </x:c>
      <x:c r="D24" s="69" t="n">
        <x:v>1025</x:v>
      </x:c>
      <x:c r="E24" s="66" t="n">
        <x:f>LOJ_MESAFE!C13</x:f>
        <x:v>63</x:v>
      </x:c>
      <x:c r="F24" s="66" t="n">
        <x:f>LOJ_TEKLIF!D12</x:f>
        <x:v>8100</x:v>
      </x:c>
      <x:c r="G24" s="27" t="n">
        <x:f>D24*F24</x:f>
        <x:v>8302500</x:v>
      </x:c>
      <x:c r="H24" s="27" t="n">
        <x:f>D24*E24*LOJ_PARAM!$B$6</x:f>
        <x:v>258300</x:v>
      </x:c>
      <x:c r="I24" s="27" t="n">
        <x:f>D24*LOJ_PARAM!$B$7</x:f>
        <x:v>256250</x:v>
      </x:c>
      <x:c r="J24" s="27" t="n">
        <x:f>SUM(G24:I24)</x:f>
        <x:v>8817050</x:v>
      </x:c>
      <x:c r="K24" s="27" t="n">
        <x:f>D24*E24</x:f>
        <x:v>64575</x:v>
      </x:c>
      <x:c r="L24" t="str">
        <x:f>LOJ_MESAFE!D13</x:f>
        <x:v>Yaklasik karayolu</x:v>
      </x:c>
    </x:row>
    <x:row r="25">
      <x:c r="A25" t="str">
        <x:v>Manisa-Salihli</x:v>
      </x:c>
      <x:c r="B25" t="str">
        <x:v>Salcalik domates</x:v>
      </x:c>
      <x:c r="C25" t="str">
        <x:v>Susurluk</x:v>
      </x:c>
      <x:c r="D25" s="69" t="n">
        <x:v>0</x:v>
      </x:c>
      <x:c r="E25" s="66" t="n">
        <x:f>LOJ_MESAFE!C16</x:f>
        <x:v>196</x:v>
      </x:c>
      <x:c r="F25" s="66" t="n">
        <x:f>LOJ_TEKLIF!D13</x:f>
        <x:v>8150</x:v>
      </x:c>
      <x:c r="G25" s="27" t="n">
        <x:f>D25*F25</x:f>
        <x:v>0</x:v>
      </x:c>
      <x:c r="H25" s="27" t="n">
        <x:f>D25*E25*LOJ_PARAM!$B$6</x:f>
        <x:v>0</x:v>
      </x:c>
      <x:c r="I25" s="27" t="n">
        <x:f>D25*LOJ_PARAM!$B$7</x:f>
        <x:v>0</x:v>
      </x:c>
      <x:c r="J25" s="27" t="n">
        <x:f>SUM(G25:I25)</x:f>
        <x:v>0</x:v>
      </x:c>
      <x:c r="K25" s="27" t="n">
        <x:f>D25*E25</x:f>
        <x:v>0</x:v>
      </x:c>
      <x:c r="L25" t="str">
        <x:f>LOJ_MESAFE!D16</x:f>
        <x:v>Yaklasik karayolu</x:v>
      </x:c>
    </x:row>
    <x:row r="26">
      <x:c r="A26" t="str">
        <x:v>Manisa-Salihli</x:v>
      </x:c>
      <x:c r="B26" t="str">
        <x:v>Patlican</x:v>
      </x:c>
      <x:c r="C26" t="str">
        <x:v>Karacabey</x:v>
      </x:c>
      <x:c r="D26" s="69" t="n">
        <x:v>0</x:v>
      </x:c>
      <x:c r="E26" s="66" t="n">
        <x:f>LOJ_MESAFE!C7</x:f>
        <x:v>244</x:v>
      </x:c>
      <x:c r="F26" s="66" t="n">
        <x:f>LOJ_TEKLIF!D14</x:f>
        <x:v>16000</x:v>
      </x:c>
      <x:c r="G26" s="27" t="n">
        <x:f>D26*F26</x:f>
        <x:v>0</x:v>
      </x:c>
      <x:c r="H26" s="27" t="n">
        <x:f>D26*E26*LOJ_PARAM!$B$6</x:f>
        <x:v>0</x:v>
      </x:c>
      <x:c r="I26" s="27" t="n">
        <x:f>D26*LOJ_PARAM!$B$7</x:f>
        <x:v>0</x:v>
      </x:c>
      <x:c r="J26" s="27" t="n">
        <x:f>SUM(G26:I26)</x:f>
        <x:v>0</x:v>
      </x:c>
      <x:c r="K26" s="27" t="n">
        <x:f>D26*E26</x:f>
        <x:v>0</x:v>
      </x:c>
      <x:c r="L26" t="str">
        <x:f>LOJ_MESAFE!D7</x:f>
        <x:v>Yaklasik karayolu</x:v>
      </x:c>
    </x:row>
    <x:row r="27">
      <x:c r="A27" t="str">
        <x:v>Manisa-Salihli</x:v>
      </x:c>
      <x:c r="B27" t="str">
        <x:v>Patlican</x:v>
      </x:c>
      <x:c r="C27" t="str">
        <x:v>Salihli</x:v>
      </x:c>
      <x:c r="D27" s="69" t="n">
        <x:v>450</x:v>
      </x:c>
      <x:c r="E27" s="66" t="n">
        <x:f>LOJ_MESAFE!C10</x:f>
        <x:v>12</x:v>
      </x:c>
      <x:c r="F27" s="66" t="n">
        <x:f>LOJ_TEKLIF!D15</x:f>
        <x:v>15500</x:v>
      </x:c>
      <x:c r="G27" s="27" t="n">
        <x:f>D27*F27</x:f>
        <x:v>6975000</x:v>
      </x:c>
      <x:c r="H27" s="27" t="n">
        <x:f>D27*E27*LOJ_PARAM!$B$6</x:f>
        <x:v>21600</x:v>
      </x:c>
      <x:c r="I27" s="27" t="n">
        <x:f>D27*LOJ_PARAM!$B$7</x:f>
        <x:v>112500</x:v>
      </x:c>
      <x:c r="J27" s="27" t="n">
        <x:f>SUM(G27:I27)</x:f>
        <x:v>7109100</x:v>
      </x:c>
      <x:c r="K27" s="27" t="n">
        <x:f>D27*E27</x:f>
        <x:v>5400</x:v>
      </x:c>
      <x:c r="L27" t="str">
        <x:f>LOJ_MESAFE!D10</x:f>
        <x:v>SENARYO</x:v>
      </x:c>
    </x:row>
    <x:row r="28">
      <x:c r="A28" t="str">
        <x:v>Manisa-Salihli</x:v>
      </x:c>
      <x:c r="B28" t="str">
        <x:v>Patlican</x:v>
      </x:c>
      <x:c r="C28" t="str">
        <x:v>Akhisar</x:v>
      </x:c>
      <x:c r="D28" s="69" t="n">
        <x:v>250</x:v>
      </x:c>
      <x:c r="E28" s="66" t="n">
        <x:f>LOJ_MESAFE!C13</x:f>
        <x:v>63</x:v>
      </x:c>
      <x:c r="F28" s="66" t="n">
        <x:f>LOJ_TEKLIF!D16</x:f>
        <x:v>15800</x:v>
      </x:c>
      <x:c r="G28" s="27" t="n">
        <x:f>D28*F28</x:f>
        <x:v>3950000</x:v>
      </x:c>
      <x:c r="H28" s="27" t="n">
        <x:f>D28*E28*LOJ_PARAM!$B$6</x:f>
        <x:v>63000</x:v>
      </x:c>
      <x:c r="I28" s="27" t="n">
        <x:f>D28*LOJ_PARAM!$B$7</x:f>
        <x:v>62500</x:v>
      </x:c>
      <x:c r="J28" s="27" t="n">
        <x:f>SUM(G28:I28)</x:f>
        <x:v>4075500</x:v>
      </x:c>
      <x:c r="K28" s="27" t="n">
        <x:f>D28*E28</x:f>
        <x:v>15750</x:v>
      </x:c>
      <x:c r="L28" t="str">
        <x:f>LOJ_MESAFE!D13</x:f>
        <x:v>Yaklasik karayolu</x:v>
      </x:c>
    </x:row>
    <x:row r="29">
      <x:c r="A29" t="str">
        <x:v>Manisa-Salihli</x:v>
      </x:c>
      <x:c r="B29" t="str">
        <x:v>Patlican</x:v>
      </x:c>
      <x:c r="C29" t="str">
        <x:v>Susurluk</x:v>
      </x:c>
      <x:c r="D29" s="69" t="n">
        <x:v>0</x:v>
      </x:c>
      <x:c r="E29" s="66" t="n">
        <x:f>LOJ_MESAFE!C16</x:f>
        <x:v>196</x:v>
      </x:c>
      <x:c r="F29" s="66" t="n">
        <x:f>LOJ_TEKLIF!D17</x:f>
        <x:v>16200</x:v>
      </x:c>
      <x:c r="G29" s="27" t="n">
        <x:f>D29*F29</x:f>
        <x:v>0</x:v>
      </x:c>
      <x:c r="H29" s="27" t="n">
        <x:f>D29*E29*LOJ_PARAM!$B$6</x:f>
        <x:v>0</x:v>
      </x:c>
      <x:c r="I29" s="27" t="n">
        <x:f>D29*LOJ_PARAM!$B$7</x:f>
        <x:v>0</x:v>
      </x:c>
      <x:c r="J29" s="27" t="n">
        <x:f>SUM(G29:I29)</x:f>
        <x:v>0</x:v>
      </x:c>
      <x:c r="K29" s="27" t="n">
        <x:f>D29*E29</x:f>
        <x:v>0</x:v>
      </x:c>
      <x:c r="L29" t="str">
        <x:f>LOJ_MESAFE!D16</x:f>
        <x:v>Yaklasik karayolu</x:v>
      </x:c>
    </x:row>
    <x:row r="30">
      <x:c r="A30" t="str">
        <x:v>Balikesir-Gonen</x:v>
      </x:c>
      <x:c r="B30" t="str">
        <x:v>Kapya biber</x:v>
      </x:c>
      <x:c r="C30" t="str">
        <x:v>Karacabey</x:v>
      </x:c>
      <x:c r="D30" s="69" t="n">
        <x:v>1600</x:v>
      </x:c>
      <x:c r="E30" s="66" t="n">
        <x:f>LOJ_MESAFE!C8</x:f>
        <x:v>81</x:v>
      </x:c>
      <x:c r="F30" s="66" t="n">
        <x:f>LOJ_TEKLIF!D6</x:f>
        <x:v>18000</x:v>
      </x:c>
      <x:c r="G30" s="27" t="n">
        <x:f>D30*F30</x:f>
        <x:v>28800000</x:v>
      </x:c>
      <x:c r="H30" s="27" t="n">
        <x:f>D30*E30*LOJ_PARAM!$B$6</x:f>
        <x:v>518400</x:v>
      </x:c>
      <x:c r="I30" s="27" t="n">
        <x:f>D30*LOJ_PARAM!$B$7</x:f>
        <x:v>400000</x:v>
      </x:c>
      <x:c r="J30" s="27" t="n">
        <x:f>SUM(G30:I30)</x:f>
        <x:v>29718400</x:v>
      </x:c>
      <x:c r="K30" s="27" t="n">
        <x:f>D30*E30</x:f>
        <x:v>129600</x:v>
      </x:c>
      <x:c r="L30" t="str">
        <x:f>LOJ_MESAFE!D8</x:f>
        <x:v>Yaklasik karayolu</x:v>
      </x:c>
    </x:row>
    <x:row r="31">
      <x:c r="A31" t="str">
        <x:v>Balikesir-Gonen</x:v>
      </x:c>
      <x:c r="B31" t="str">
        <x:v>Kapya biber</x:v>
      </x:c>
      <x:c r="C31" t="str">
        <x:v>Salihli</x:v>
      </x:c>
      <x:c r="D31" s="69" t="n">
        <x:v>400</x:v>
      </x:c>
      <x:c r="E31" s="66" t="n">
        <x:f>LOJ_MESAFE!C11</x:f>
        <x:v>251</x:v>
      </x:c>
      <x:c r="F31" s="66" t="n">
        <x:f>LOJ_TEKLIF!D7</x:f>
        <x:v>17500</x:v>
      </x:c>
      <x:c r="G31" s="27" t="n">
        <x:f>D31*F31</x:f>
        <x:v>7000000</x:v>
      </x:c>
      <x:c r="H31" s="27" t="n">
        <x:f>D31*E31*LOJ_PARAM!$B$6</x:f>
        <x:v>401600</x:v>
      </x:c>
      <x:c r="I31" s="27" t="n">
        <x:f>D31*LOJ_PARAM!$B$7</x:f>
        <x:v>100000</x:v>
      </x:c>
      <x:c r="J31" s="27" t="n">
        <x:f>SUM(G31:I31)</x:f>
        <x:v>7501600</x:v>
      </x:c>
      <x:c r="K31" s="27" t="n">
        <x:f>D31*E31</x:f>
        <x:v>100400</x:v>
      </x:c>
      <x:c r="L31" t="str">
        <x:f>LOJ_MESAFE!D11</x:f>
        <x:v>Yaklasik karayolu</x:v>
      </x:c>
    </x:row>
    <x:row r="32">
      <x:c r="A32" t="str">
        <x:v>Balikesir-Gonen</x:v>
      </x:c>
      <x:c r="B32" t="str">
        <x:v>Kapya biber</x:v>
      </x:c>
      <x:c r="C32" t="str">
        <x:v>Akhisar</x:v>
      </x:c>
      <x:c r="D32" s="69" t="n">
        <x:v>0</x:v>
      </x:c>
      <x:c r="E32" s="66" t="n">
        <x:f>LOJ_MESAFE!C14</x:f>
        <x:v>203</x:v>
      </x:c>
      <x:c r="F32" s="66" t="n">
        <x:f>LOJ_TEKLIF!D8</x:f>
        <x:v>17800</x:v>
      </x:c>
      <x:c r="G32" s="27" t="n">
        <x:f>D32*F32</x:f>
        <x:v>0</x:v>
      </x:c>
      <x:c r="H32" s="27" t="n">
        <x:f>D32*E32*LOJ_PARAM!$B$6</x:f>
        <x:v>0</x:v>
      </x:c>
      <x:c r="I32" s="27" t="n">
        <x:f>D32*LOJ_PARAM!$B$7</x:f>
        <x:v>0</x:v>
      </x:c>
      <x:c r="J32" s="27" t="n">
        <x:f>SUM(G32:I32)</x:f>
        <x:v>0</x:v>
      </x:c>
      <x:c r="K32" s="27" t="n">
        <x:f>D32*E32</x:f>
        <x:v>0</x:v>
      </x:c>
      <x:c r="L32" t="str">
        <x:f>LOJ_MESAFE!D14</x:f>
        <x:v>Yaklasik karayolu</x:v>
      </x:c>
    </x:row>
    <x:row r="33">
      <x:c r="A33" t="str">
        <x:v>Balikesir-Gonen</x:v>
      </x:c>
      <x:c r="B33" t="str">
        <x:v>Kapya biber</x:v>
      </x:c>
      <x:c r="C33" t="str">
        <x:v>Susurluk</x:v>
      </x:c>
      <x:c r="D33" s="69" t="n">
        <x:v>1000</x:v>
      </x:c>
      <x:c r="E33" s="66" t="n">
        <x:f>LOJ_MESAFE!C17</x:f>
        <x:v>72</x:v>
      </x:c>
      <x:c r="F33" s="66" t="n">
        <x:f>LOJ_TEKLIF!D9</x:f>
        <x:v>18100</x:v>
      </x:c>
      <x:c r="G33" s="27" t="n">
        <x:f>D33*F33</x:f>
        <x:v>18100000</x:v>
      </x:c>
      <x:c r="H33" s="27" t="n">
        <x:f>D33*E33*LOJ_PARAM!$B$6</x:f>
        <x:v>288000</x:v>
      </x:c>
      <x:c r="I33" s="27" t="n">
        <x:f>D33*LOJ_PARAM!$B$7</x:f>
        <x:v>250000</x:v>
      </x:c>
      <x:c r="J33" s="27" t="n">
        <x:f>SUM(G33:I33)</x:f>
        <x:v>18638000</x:v>
      </x:c>
      <x:c r="K33" s="27" t="n">
        <x:f>D33*E33</x:f>
        <x:v>72000</x:v>
      </x:c>
      <x:c r="L33" t="str">
        <x:f>LOJ_MESAFE!D17</x:f>
        <x:v>Yaklasik karayolu</x:v>
      </x:c>
    </x:row>
    <x:row r="34">
      <x:c r="A34" t="str">
        <x:v>Balikesir-Gonen</x:v>
      </x:c>
      <x:c r="B34" t="str">
        <x:v>Salcalik domates</x:v>
      </x:c>
      <x:c r="C34" t="str">
        <x:v>Karacabey</x:v>
      </x:c>
      <x:c r="D34" s="69" t="n">
        <x:v>1800</x:v>
      </x:c>
      <x:c r="E34" s="66" t="n">
        <x:f>LOJ_MESAFE!C8</x:f>
        <x:v>81</x:v>
      </x:c>
      <x:c r="F34" s="66" t="n">
        <x:f>LOJ_TEKLIF!D10</x:f>
        <x:v>8000</x:v>
      </x:c>
      <x:c r="G34" s="27" t="n">
        <x:f>D34*F34</x:f>
        <x:v>14400000</x:v>
      </x:c>
      <x:c r="H34" s="27" t="n">
        <x:f>D34*E34*LOJ_PARAM!$B$6</x:f>
        <x:v>583200</x:v>
      </x:c>
      <x:c r="I34" s="27" t="n">
        <x:f>D34*LOJ_PARAM!$B$7</x:f>
        <x:v>450000</x:v>
      </x:c>
      <x:c r="J34" s="27" t="n">
        <x:f>SUM(G34:I34)</x:f>
        <x:v>15433200</x:v>
      </x:c>
      <x:c r="K34" s="27" t="n">
        <x:f>D34*E34</x:f>
        <x:v>145800</x:v>
      </x:c>
      <x:c r="L34" t="str">
        <x:f>LOJ_MESAFE!D8</x:f>
        <x:v>Yaklasik karayolu</x:v>
      </x:c>
    </x:row>
    <x:row r="35">
      <x:c r="A35" t="str">
        <x:v>Balikesir-Gonen</x:v>
      </x:c>
      <x:c r="B35" t="str">
        <x:v>Salcalik domates</x:v>
      </x:c>
      <x:c r="C35" t="str">
        <x:v>Salihli</x:v>
      </x:c>
      <x:c r="D35" s="69" t="n">
        <x:v>0</x:v>
      </x:c>
      <x:c r="E35" s="66" t="n">
        <x:f>LOJ_MESAFE!C11</x:f>
        <x:v>251</x:v>
      </x:c>
      <x:c r="F35" s="66" t="n">
        <x:f>LOJ_TEKLIF!D11</x:f>
        <x:v>7800</x:v>
      </x:c>
      <x:c r="G35" s="27" t="n">
        <x:f>D35*F35</x:f>
        <x:v>0</x:v>
      </x:c>
      <x:c r="H35" s="27" t="n">
        <x:f>D35*E35*LOJ_PARAM!$B$6</x:f>
        <x:v>0</x:v>
      </x:c>
      <x:c r="I35" s="27" t="n">
        <x:f>D35*LOJ_PARAM!$B$7</x:f>
        <x:v>0</x:v>
      </x:c>
      <x:c r="J35" s="27" t="n">
        <x:f>SUM(G35:I35)</x:f>
        <x:v>0</x:v>
      </x:c>
      <x:c r="K35" s="27" t="n">
        <x:f>D35*E35</x:f>
        <x:v>0</x:v>
      </x:c>
      <x:c r="L35" t="str">
        <x:f>LOJ_MESAFE!D11</x:f>
        <x:v>Yaklasik karayolu</x:v>
      </x:c>
    </x:row>
    <x:row r="36">
      <x:c r="A36" t="str">
        <x:v>Balikesir-Gonen</x:v>
      </x:c>
      <x:c r="B36" t="str">
        <x:v>Salcalik domates</x:v>
      </x:c>
      <x:c r="C36" t="str">
        <x:v>Akhisar</x:v>
      </x:c>
      <x:c r="D36" s="69" t="n">
        <x:v>0</x:v>
      </x:c>
      <x:c r="E36" s="66" t="n">
        <x:f>LOJ_MESAFE!C14</x:f>
        <x:v>203</x:v>
      </x:c>
      <x:c r="F36" s="66" t="n">
        <x:f>LOJ_TEKLIF!D12</x:f>
        <x:v>8100</x:v>
      </x:c>
      <x:c r="G36" s="27" t="n">
        <x:f>D36*F36</x:f>
        <x:v>0</x:v>
      </x:c>
      <x:c r="H36" s="27" t="n">
        <x:f>D36*E36*LOJ_PARAM!$B$6</x:f>
        <x:v>0</x:v>
      </x:c>
      <x:c r="I36" s="27" t="n">
        <x:f>D36*LOJ_PARAM!$B$7</x:f>
        <x:v>0</x:v>
      </x:c>
      <x:c r="J36" s="27" t="n">
        <x:f>SUM(G36:I36)</x:f>
        <x:v>0</x:v>
      </x:c>
      <x:c r="K36" s="27" t="n">
        <x:f>D36*E36</x:f>
        <x:v>0</x:v>
      </x:c>
      <x:c r="L36" t="str">
        <x:f>LOJ_MESAFE!D14</x:f>
        <x:v>Yaklasik karayolu</x:v>
      </x:c>
    </x:row>
    <x:row r="37">
      <x:c r="A37" t="str">
        <x:v>Balikesir-Gonen</x:v>
      </x:c>
      <x:c r="B37" t="str">
        <x:v>Salcalik domates</x:v>
      </x:c>
      <x:c r="C37" t="str">
        <x:v>Susurluk</x:v>
      </x:c>
      <x:c r="D37" s="69" t="n">
        <x:v>325</x:v>
      </x:c>
      <x:c r="E37" s="66" t="n">
        <x:f>LOJ_MESAFE!C17</x:f>
        <x:v>72</x:v>
      </x:c>
      <x:c r="F37" s="66" t="n">
        <x:f>LOJ_TEKLIF!D13</x:f>
        <x:v>8150</x:v>
      </x:c>
      <x:c r="G37" s="27" t="n">
        <x:f>D37*F37</x:f>
        <x:v>2648750</x:v>
      </x:c>
      <x:c r="H37" s="27" t="n">
        <x:f>D37*E37*LOJ_PARAM!$B$6</x:f>
        <x:v>93600</x:v>
      </x:c>
      <x:c r="I37" s="27" t="n">
        <x:f>D37*LOJ_PARAM!$B$7</x:f>
        <x:v>81250</x:v>
      </x:c>
      <x:c r="J37" s="27" t="n">
        <x:f>SUM(G37:I37)</x:f>
        <x:v>2823600</x:v>
      </x:c>
      <x:c r="K37" s="27" t="n">
        <x:f>D37*E37</x:f>
        <x:v>23400</x:v>
      </x:c>
      <x:c r="L37" t="str">
        <x:f>LOJ_MESAFE!D17</x:f>
        <x:v>Yaklasik karayolu</x:v>
      </x:c>
    </x:row>
    <x:row r="38">
      <x:c r="A38" t="str">
        <x:v>Balikesir-Gonen</x:v>
      </x:c>
      <x:c r="B38" t="str">
        <x:v>Patlican</x:v>
      </x:c>
      <x:c r="C38" t="str">
        <x:v>Karacabey</x:v>
      </x:c>
      <x:c r="D38" s="69" t="n">
        <x:v>350</x:v>
      </x:c>
      <x:c r="E38" s="66" t="n">
        <x:f>LOJ_MESAFE!C8</x:f>
        <x:v>81</x:v>
      </x:c>
      <x:c r="F38" s="66" t="n">
        <x:f>LOJ_TEKLIF!D14</x:f>
        <x:v>16000</x:v>
      </x:c>
      <x:c r="G38" s="27" t="n">
        <x:f>D38*F38</x:f>
        <x:v>5600000</x:v>
      </x:c>
      <x:c r="H38" s="27" t="n">
        <x:f>D38*E38*LOJ_PARAM!$B$6</x:f>
        <x:v>113400</x:v>
      </x:c>
      <x:c r="I38" s="27" t="n">
        <x:f>D38*LOJ_PARAM!$B$7</x:f>
        <x:v>87500</x:v>
      </x:c>
      <x:c r="J38" s="27" t="n">
        <x:f>SUM(G38:I38)</x:f>
        <x:v>5800900</x:v>
      </x:c>
      <x:c r="K38" s="27" t="n">
        <x:f>D38*E38</x:f>
        <x:v>28350</x:v>
      </x:c>
      <x:c r="L38" t="str">
        <x:f>LOJ_MESAFE!D8</x:f>
        <x:v>Yaklasik karayolu</x:v>
      </x:c>
    </x:row>
    <x:row r="39">
      <x:c r="A39" t="str">
        <x:v>Balikesir-Gonen</x:v>
      </x:c>
      <x:c r="B39" t="str">
        <x:v>Patlican</x:v>
      </x:c>
      <x:c r="C39" t="str">
        <x:v>Salihli</x:v>
      </x:c>
      <x:c r="D39" s="69" t="n">
        <x:v>0</x:v>
      </x:c>
      <x:c r="E39" s="66" t="n">
        <x:f>LOJ_MESAFE!C11</x:f>
        <x:v>251</x:v>
      </x:c>
      <x:c r="F39" s="66" t="n">
        <x:f>LOJ_TEKLIF!D15</x:f>
        <x:v>15500</x:v>
      </x:c>
      <x:c r="G39" s="27" t="n">
        <x:f>D39*F39</x:f>
        <x:v>0</x:v>
      </x:c>
      <x:c r="H39" s="27" t="n">
        <x:f>D39*E39*LOJ_PARAM!$B$6</x:f>
        <x:v>0</x:v>
      </x:c>
      <x:c r="I39" s="27" t="n">
        <x:f>D39*LOJ_PARAM!$B$7</x:f>
        <x:v>0</x:v>
      </x:c>
      <x:c r="J39" s="27" t="n">
        <x:f>SUM(G39:I39)</x:f>
        <x:v>0</x:v>
      </x:c>
      <x:c r="K39" s="27" t="n">
        <x:f>D39*E39</x:f>
        <x:v>0</x:v>
      </x:c>
      <x:c r="L39" t="str">
        <x:f>LOJ_MESAFE!D11</x:f>
        <x:v>Yaklasik karayolu</x:v>
      </x:c>
    </x:row>
    <x:row r="40">
      <x:c r="A40" t="str">
        <x:v>Balikesir-Gonen</x:v>
      </x:c>
      <x:c r="B40" t="str">
        <x:v>Patlican</x:v>
      </x:c>
      <x:c r="C40" t="str">
        <x:v>Akhisar</x:v>
      </x:c>
      <x:c r="D40" s="69" t="n">
        <x:v>0</x:v>
      </x:c>
      <x:c r="E40" s="66" t="n">
        <x:f>LOJ_MESAFE!C14</x:f>
        <x:v>203</x:v>
      </x:c>
      <x:c r="F40" s="66" t="n">
        <x:f>LOJ_TEKLIF!D16</x:f>
        <x:v>15800</x:v>
      </x:c>
      <x:c r="G40" s="27" t="n">
        <x:f>D40*F40</x:f>
        <x:v>0</x:v>
      </x:c>
      <x:c r="H40" s="27" t="n">
        <x:f>D40*E40*LOJ_PARAM!$B$6</x:f>
        <x:v>0</x:v>
      </x:c>
      <x:c r="I40" s="27" t="n">
        <x:f>D40*LOJ_PARAM!$B$7</x:f>
        <x:v>0</x:v>
      </x:c>
      <x:c r="J40" s="27" t="n">
        <x:f>SUM(G40:I40)</x:f>
        <x:v>0</x:v>
      </x:c>
      <x:c r="K40" s="27" t="n">
        <x:f>D40*E40</x:f>
        <x:v>0</x:v>
      </x:c>
      <x:c r="L40" t="str">
        <x:f>LOJ_MESAFE!D14</x:f>
        <x:v>Yaklasik karayolu</x:v>
      </x:c>
    </x:row>
    <x:row r="41">
      <x:c r="A41" t="str">
        <x:v>Balikesir-Gonen</x:v>
      </x:c>
      <x:c r="B41" t="str">
        <x:v>Patlican</x:v>
      </x:c>
      <x:c r="C41" t="str">
        <x:v>Susurluk</x:v>
      </x:c>
      <x:c r="D41" s="69" t="n">
        <x:v>350</x:v>
      </x:c>
      <x:c r="E41" s="66" t="n">
        <x:f>LOJ_MESAFE!C17</x:f>
        <x:v>72</x:v>
      </x:c>
      <x:c r="F41" s="66" t="n">
        <x:f>LOJ_TEKLIF!D17</x:f>
        <x:v>16200</x:v>
      </x:c>
      <x:c r="G41" s="27" t="n">
        <x:f>D41*F41</x:f>
        <x:v>5670000</x:v>
      </x:c>
      <x:c r="H41" s="27" t="n">
        <x:f>D41*E41*LOJ_PARAM!$B$6</x:f>
        <x:v>100800</x:v>
      </x:c>
      <x:c r="I41" s="27" t="n">
        <x:f>D41*LOJ_PARAM!$B$7</x:f>
        <x:v>87500</x:v>
      </x:c>
      <x:c r="J41" s="27" t="n">
        <x:f>SUM(G41:I41)</x:f>
        <x:v>5858300</x:v>
      </x:c>
      <x:c r="K41" s="27" t="n">
        <x:f>D41*E41</x:f>
        <x:v>25200</x:v>
      </x:c>
      <x:c r="L41" t="str">
        <x:f>LOJ_MESAFE!D17</x:f>
        <x:v>Yaklasik karayolu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0" hidden="0" customWidth="1"/>
    <x:col min="5" max="5" width="26" hidden="0" customWidth="1"/>
    <x:col min="6" max="6" width="25" hidden="0" customWidth="1"/>
    <x:col min="7" max="7" width="20" hidden="0" customWidth="1"/>
    <x:col min="8" max="8" width="21" hidden="0" customWidth="1"/>
    <x:col min="9" max="9" width="26" hidden="0" customWidth="1"/>
    <x:col min="10" max="10" width="32" hidden="0" customWidth="1"/>
    <x:col min="11" max="11" width="31" hidden="0" customWidth="1"/>
  </x:cols>
  <x:sheetData>
    <x:row r="1" ht="32" customHeight="1">
      <x:c r="A1" s="54" t="str">
        <x:v>TEDARIK OPTIMIZASYONU - FINANSAL OZET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2" ht="30" customHeight="1">
      <x:c r="A2" s="57" t="str">
        <x:v>Yalnizca 3 sebze icin uygulanan LP sonucunun maliyet ve tasima ciktilari. Ilce uretimi/fiyatlariyla kanitlanmis yatirim siralamasi DEGIL.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</x:row>
    <x:row r="5" ht="25" customHeight="1">
      <x:c r="A5" s="58" t="str">
        <x:v>Tesis</x:v>
      </x:c>
      <x:c r="B5" s="58" t="str">
        <x:v>Sebze alimi TL/yil</x:v>
      </x:c>
      <x:c r="C5" s="58" t="str">
        <x:v>Nakliye TL/yil</x:v>
      </x:c>
      <x:c r="D5" s="58" t="str">
        <x:v>Yukleme TL/yil</x:v>
      </x:c>
      <x:c r="E5" s="58" t="str">
        <x:v>3 sebze TOPLAM TL/yil</x:v>
      </x:c>
      <x:c r="F5" s="58" t="str">
        <x:v>TL / kg sos (3 sebze)</x:v>
      </x:c>
      <x:c r="G5" s="58" t="str">
        <x:v>Ton-km / yil</x:v>
      </x:c>
      <x:c r="H5" s="58" t="str">
        <x:v>Yaklasik aracsayisi</x:v>
      </x:c>
      <x:c r="I5" s="58" t="str">
        <x:v>Diger malzemeler TL/yil</x:v>
      </x:c>
      <x:c r="J5" s="58" t="str">
        <x:v>Malzeme+gelen lojistik TL/yil</x:v>
      </x:c>
      <x:c r="K5" s="58" t="str">
        <x:v>Veri kalitesi</x:v>
      </x:c>
    </x:row>
    <x:row r="6">
      <x:c r="A6" t="str">
        <x:v>Bursa-Mustafakemalpasa</x:v>
      </x:c>
      <x:c r="B6" s="38" t="n">
        <x:f>SUMIF(LOJ_AKIS!$A$6:$A$41,A6,LOJ_AKIS!$G$6:$G$41)</x:f>
        <x:v>82218750</x:v>
      </x:c>
      <x:c r="C6" s="38" t="n">
        <x:f>SUMIF(LOJ_AKIS!$A$6:$A$41,A6,LOJ_AKIS!$H$6:$H$41)</x:f>
        <x:v>936000</x:v>
      </x:c>
      <x:c r="D6" s="38" t="n">
        <x:f>SUMIF(LOJ_AKIS!$A$6:$A$41,A6,LOJ_AKIS!$I$6:$I$41)</x:f>
        <x:v>1456250</x:v>
      </x:c>
      <x:c r="E6" s="72" t="n">
        <x:f>SUM(B6:D6)</x:f>
        <x:v>84611000</x:v>
      </x:c>
      <x:c r="F6" s="70" t="n">
        <x:f>E6/LOJ_PARAM!$B$10</x:f>
        <x:v>33.8444</x:v>
      </x:c>
      <x:c r="G6" s="38" t="n">
        <x:f>SUMIF(LOJ_AKIS!$A$6:$A$41,A6,LOJ_AKIS!$K$6:$K$41)</x:f>
        <x:v>234000</x:v>
      </x:c>
      <x:c r="H6" s="38" t="n">
        <x:f>(LOJ_PARAM!$B$11+LOJ_PARAM!$B$12+LOJ_PARAM!$B$13)/LOJ_PARAM!$B$8</x:f>
        <x:v>291.25</x:v>
      </x:c>
      <x:c r="I6" s="38" t="n">
        <x:f>LOJ_PARAM!$B$14</x:f>
        <x:v>28395000</x:v>
      </x:c>
      <x:c r="J6" s="38" t="n">
        <x:f>SUM(E6,I6)</x:f>
        <x:v>113006000</x:v>
      </x:c>
      <x:c r="K6" t="str">
        <x:f>"SENARYO, TEKLIF YOK"</x:f>
        <x:v>SENARYO, TEKLIF YOK</x:v>
      </x:c>
    </x:row>
    <x:row r="7">
      <x:c r="A7" t="str">
        <x:v>Manisa-Salihli</x:v>
      </x:c>
      <x:c r="B7" s="38" t="n">
        <x:f>SUMIF(LOJ_AKIS!$A$6:$A$41,A7,LOJ_AKIS!$G$6:$G$41)</x:f>
        <x:v>80967500</x:v>
      </x:c>
      <x:c r="C7" s="38" t="n">
        <x:f>SUMIF(LOJ_AKIS!$A$6:$A$41,A7,LOJ_AKIS!$H$6:$H$41)</x:f>
        <x:v>1250900</x:v>
      </x:c>
      <x:c r="D7" s="38" t="n">
        <x:f>SUMIF(LOJ_AKIS!$A$6:$A$41,A7,LOJ_AKIS!$I$6:$I$41)</x:f>
        <x:v>1456250</x:v>
      </x:c>
      <x:c r="E7" s="72" t="n">
        <x:f>SUM(B7:D7)</x:f>
        <x:v>83674650</x:v>
      </x:c>
      <x:c r="F7" s="70" t="n">
        <x:f>E7/LOJ_PARAM!$B$10</x:f>
        <x:v>33.46986</x:v>
      </x:c>
      <x:c r="G7" s="38" t="n">
        <x:f>SUMIF(LOJ_AKIS!$A$6:$A$41,A7,LOJ_AKIS!$K$6:$K$41)</x:f>
        <x:v>312725</x:v>
      </x:c>
      <x:c r="H7" s="38" t="n">
        <x:f>(LOJ_PARAM!$B$11+LOJ_PARAM!$B$12+LOJ_PARAM!$B$13)/LOJ_PARAM!$B$8</x:f>
        <x:v>291.25</x:v>
      </x:c>
      <x:c r="I7" s="38" t="n">
        <x:f>LOJ_PARAM!$B$14</x:f>
        <x:v>28395000</x:v>
      </x:c>
      <x:c r="J7" s="38" t="n">
        <x:f>SUM(E7,I7)</x:f>
        <x:v>112069650</x:v>
      </x:c>
      <x:c r="K7" t="str">
        <x:f>"SENARYO, TEKLIF YOK"</x:f>
        <x:v>SENARYO, TEKLIF YOK</x:v>
      </x:c>
    </x:row>
    <x:row r="8">
      <x:c r="A8" t="str">
        <x:v>Balikesir-Gonen</x:v>
      </x:c>
      <x:c r="B8" s="38" t="n">
        <x:f>SUMIF(LOJ_AKIS!$A$6:$A$41,A8,LOJ_AKIS!$G$6:$G$41)</x:f>
        <x:v>82218750</x:v>
      </x:c>
      <x:c r="C8" s="38" t="n">
        <x:f>SUMIF(LOJ_AKIS!$A$6:$A$41,A8,LOJ_AKIS!$H$6:$H$41)</x:f>
        <x:v>2099000</x:v>
      </x:c>
      <x:c r="D8" s="38" t="n">
        <x:f>SUMIF(LOJ_AKIS!$A$6:$A$41,A8,LOJ_AKIS!$I$6:$I$41)</x:f>
        <x:v>1456250</x:v>
      </x:c>
      <x:c r="E8" s="72" t="n">
        <x:f>SUM(B8:D8)</x:f>
        <x:v>85774000</x:v>
      </x:c>
      <x:c r="F8" s="70" t="n">
        <x:f>E8/LOJ_PARAM!$B$10</x:f>
        <x:v>34.3096</x:v>
      </x:c>
      <x:c r="G8" s="38" t="n">
        <x:f>SUMIF(LOJ_AKIS!$A$6:$A$41,A8,LOJ_AKIS!$K$6:$K$41)</x:f>
        <x:v>524750</x:v>
      </x:c>
      <x:c r="H8" s="38" t="n">
        <x:f>(LOJ_PARAM!$B$11+LOJ_PARAM!$B$12+LOJ_PARAM!$B$13)/LOJ_PARAM!$B$8</x:f>
        <x:v>291.25</x:v>
      </x:c>
      <x:c r="I8" s="38" t="n">
        <x:f>LOJ_PARAM!$B$14</x:f>
        <x:v>28395000</x:v>
      </x:c>
      <x:c r="J8" s="38" t="n">
        <x:f>SUM(E8,I8)</x:f>
        <x:v>114169000</x:v>
      </x:c>
      <x:c r="K8" t="str">
        <x:f>"SENARYO, TEKLIF YOK"</x:f>
        <x:v>SENARYO, TEKLIF YOK</x:v>
      </x:c>
    </x:row>
    <x:row r="11" ht="38" customHeight="1">
      <x:c r="A11" s="74" t="str">
        <x:v>KRITIK SINIRLAMA: LP yalnizca sebze tedarik alt modelidir. Cikis lojistigi, sezon, satis ve arsa FINANS / FE401 sayfalarinda ayridir.</x:v>
      </x:c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</x:row>
  </x:sheetData>
  <x:mergeCells>
    <x:mergeCell ref="A1:K1"/>
    <x:mergeCell ref="A2:K2"/>
    <x:mergeCell ref="A11:K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7" hidden="0" customWidth="1"/>
    <x:col min="4" max="4" width="76" hidden="0" customWidth="1"/>
    <x:col min="5" max="5" width="74" hidden="0" customWidth="1"/>
  </x:cols>
  <x:sheetData>
    <x:row r="1" ht="32" customHeight="1">
      <x:c r="A1" s="54" t="str">
        <x:v>KAYNAK / VERI KALITESI IZLEME</x:v>
      </x:c>
      <x:c r="B1" s="54"/>
      <x:c r="C1" s="54"/>
      <x:c r="D1" s="54"/>
      <x:c r="E1" s="54"/>
    </x:row>
    <x:row r="2" ht="30" customHeight="1">
      <x:c r="A2" s="57" t="str">
        <x:v>Her sayisal veya bolgesel iddianin kaynagi burada bulunur; turler farkliysa veriler otomatik esdeger kabul edilmez.</x:v>
      </x:c>
      <x:c r="B2" s="57"/>
      <x:c r="C2" s="57"/>
      <x:c r="D2" s="57"/>
      <x:c r="E2" s="57"/>
    </x:row>
    <x:row r="5" ht="25" customHeight="1">
      <x:c r="A5" s="58" t="str">
        <x:v>Veri</x:v>
      </x:c>
      <x:c r="B5" s="58" t="str">
        <x:v>Kaynak donemi</x:v>
      </x:c>
      <x:c r="C5" s="58" t="str">
        <x:v>Nitelik</x:v>
      </x:c>
      <x:c r="D5" s="58" t="str">
        <x:v>Bulgu / not</x:v>
      </x:c>
      <x:c r="E5" s="58" t="str">
        <x:v>URL</x:v>
      </x:c>
    </x:row>
    <x:row r="6" ht="30" customHeight="1">
      <x:c r="A6" t="str">
        <x:v>Karacabey salcalik domates</x:v>
      </x:c>
      <x:c r="B6" t="str">
        <x:v>2022-2025 plan</x:v>
      </x:c>
      <x:c r="C6" t="str">
        <x:v>Ticaret borsasi</x:v>
      </x:c>
      <x:c r="D6" s="50" t="str">
        <x:v>~874 bin ton; ilce icin beyan, 2024 TUİK ilce duzeyi degil</x:v>
      </x:c>
      <x:c r="E6" s="61" t="str">
        <x:v>https://www.karacabeytb.org.tr/inc/KTB_stratejik_plan4.pdf</x:v>
      </x:c>
    </x:row>
    <x:row r="7" ht="30" customHeight="1">
      <x:c r="A7" t="str">
        <x:v>Karacabey sanayi</x:v>
      </x:c>
      <x:c r="B7" t="str">
        <x:v>2022-2025 plan</x:v>
      </x:c>
      <x:c r="C7" t="str">
        <x:v>Ticaret borsasi</x:v>
      </x:c>
      <x:c r="D7" s="50" t="str">
        <x:v>8 salca fabrikasi, rafine yag fabrikalari basligi</x:v>
      </x:c>
      <x:c r="E7" s="61" t="str">
        <x:v>https://www.karacabeytb.org.tr/inc/KTB_stratejik_plan4.pdf</x:v>
      </x:c>
    </x:row>
    <x:row r="8" ht="30" customHeight="1">
      <x:c r="A8" t="str">
        <x:v>Mustafakemalpasa domates</x:v>
      </x:c>
      <x:c r="B8" t="str">
        <x:v>2022 belediye haberi</x:v>
      </x:c>
      <x:c r="C8" t="str">
        <x:v>Belediye</x:v>
      </x:c>
      <x:c r="D8" s="50" t="str">
        <x:v>40 bin dekar ve 280 bin ton domates bildirimi, bagimsiz dogrulama gerek</x:v>
      </x:c>
      <x:c r="E8" s="61" t="str">
        <x:v>https://www.mustafakemalpasa.bel.tr/haber/mustafakemalpasa-da-280-bin-ton-salcalik-domatesin-ekimi-basladi</x:v>
      </x:c>
    </x:row>
    <x:row r="9" ht="30" customHeight="1">
      <x:c r="A9" t="str">
        <x:v>Manisa uretim ilceleri</x:v>
      </x:c>
      <x:c r="B9" t="str">
        <x:v>2022 haber / 2021 verisi</x:v>
      </x:c>
      <x:c r="C9" t="str">
        <x:v>Tarim ve Orman</x:v>
      </x:c>
      <x:c r="D9" s="50" t="str">
        <x:v>Akhisar Salihli Saruhanli Turgutlu Sehzadeler - domates yogun</x:v>
      </x:c>
      <x:c r="E9" s="61" t="str">
        <x:v>https://manisa.tarimorman.gov.tr/Haber/814/Manisada-Domates-Dikimi-Basladi</x:v>
      </x:c>
    </x:row>
    <x:row r="10" ht="30" customHeight="1">
      <x:c r="A10" t="str">
        <x:v>Balikesir yogunluk</x:v>
      </x:c>
      <x:c r="B10" t="str">
        <x:v>Guncel olmayan ozet</x:v>
      </x:c>
      <x:c r="C10" t="str">
        <x:v>Valilik</x:v>
      </x:c>
      <x:c r="D10" s="50" t="str">
        <x:v>Manyas Susurluk Bigadic vb domates / salcalik biber; miktar yil-bazli degil</x:v>
      </x:c>
      <x:c r="E10" s="61" t="str">
        <x:v>https://balikesir.gov.tr/sofradaki-balikesir</x:v>
      </x:c>
    </x:row>
    <x:row r="11" ht="30" customHeight="1">
      <x:c r="A11" t="str">
        <x:v>KGM mesafe cetveli</x:v>
      </x:c>
      <x:c r="B11" t="str">
        <x:v>2026-03-03</x:v>
      </x:c>
      <x:c r="C11" t="str">
        <x:v>Resmi mesafe kaynagi</x:v>
      </x:c>
      <x:c r="D11" s="50" t="str">
        <x:v>KGM Excel indirilebilir fakat bu calismada dosya dogrudan okunamadi</x:v>
      </x:c>
      <x:c r="E11" s="61" t="str">
        <x:v>https://www.kgm.gov.tr/Sayfalar/KGM/SiteTr/Root/Uzakliklar.aspx</x:v>
      </x:c>
    </x:row>
    <x:row r="12" ht="30" customHeight="1">
      <x:c r="A12" t="str">
        <x:v>Rota KM</x:v>
      </x:c>
      <x:c r="B12" t="str">
        <x:v>2026 derleme</x:v>
      </x:c>
      <x:c r="C12" t="str">
        <x:v>Ucuncu taraf hesaplayicilar</x:v>
      </x:c>
      <x:c r="D12" s="50" t="str">
        <x:v>Ilce merkezi mesafeleri; agir vasita/OSB girisi farkli</x:v>
      </x:c>
      <x:c r="E12" s="61" t="str">
        <x:v>https://kmhesaplama.com/bursa-mustafakemalpasa-karacabey-arasi-kac-km/</x:v>
      </x:c>
    </x:row>
    <x:row r="13" ht="30" customHeight="1">
      <x:c r="A13" t="str">
        <x:v>Biber / domates / patlican fiyatlari</x:v>
      </x:c>
      <x:c r="B13" t="str">
        <x:v>2026-10-10 model</x:v>
      </x:c>
      <x:c r="C13" t="str">
        <x:v>SENARYO</x:v>
      </x:c>
      <x:c r="D13" s="50" t="str">
        <x:v>Piyasa teklifi yok; fiyat gercek degil</x:v>
      </x:c>
      <x:c r="E13" s="61" t="str"/>
    </x:row>
    <x:row r="14" ht="30" customHeight="1">
      <x:c r="A14" t="str">
        <x:v>Bolgesel temin kapasitesi</x:v>
      </x:c>
      <x:c r="B14" t="str">
        <x:v>2026-10-10 model</x:v>
      </x:c>
      <x:c r="C14" t="str">
        <x:v>SENARYO</x:v>
      </x:c>
      <x:c r="D14" s="50" t="str">
        <x:v>12 tedarik kanali icin girilen kapasiteler varsayimdir</x:v>
      </x:c>
      <x:c r="E14" s="61" t="str"/>
    </x:row>
    <x:row r="15" ht="30" customHeight="1">
      <x:c r="A15" t="str">
        <x:v>Navlun ton-km katsayisi</x:v>
      </x:c>
      <x:c r="B15" t="str">
        <x:v>2026-10-10 model</x:v>
      </x:c>
      <x:c r="C15" t="str">
        <x:v>SENARYO</x:v>
      </x:c>
      <x:c r="D15" s="50" t="str">
        <x:v>4 TL/ton-km teklif degil; zaman/bos donus ek etkileri ihmal</x:v>
      </x:c>
      <x:c r="E15" s="61" t="str"/>
    </x:row>
    <x:row r="16" ht="30" customHeight="1">
      <x:c r="A16" t="str">
        <x:v>Salihli yerel tasima</x:v>
      </x:c>
      <x:c r="B16" t="str">
        <x:v>2026-10-10 model</x:v>
      </x:c>
      <x:c r="C16" t="str">
        <x:v>SENARYO</x:v>
      </x:c>
      <x:c r="D16" s="50" t="str">
        <x:v>Salihli-Salihli OSB 12 km temsili; olculmus degil</x:v>
      </x:c>
      <x:c r="E16" s="61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56" hidden="0" customWidth="1"/>
    <x:col min="4" max="4" width="47" hidden="0" customWidth="1"/>
    <x:col min="5" max="5" width="63" hidden="0" customWidth="1"/>
  </x:cols>
  <x:sheetData>
    <x:row r="1" ht="32" customHeight="1">
      <x:c r="A1" s="54" t="str">
        <x:v>OPTIMIZASYON YONTEMI VE YOL HARITASI</x:v>
      </x:c>
      <x:c r="B1" s="54"/>
      <x:c r="C1" s="54"/>
      <x:c r="D1" s="54"/>
      <x:c r="E1" s="54"/>
    </x:row>
    <x:row r="2" ht="30" customHeight="1">
      <x:c r="A2" s="57" t="str">
        <x:v>Tam yatirim kararinin yerine gecmez. Girdi akislari ve tarife kaynaklarini guncellemeden LP ekonomik gerceklik iddiasinda bulunamaz.</x:v>
      </x:c>
      <x:c r="B2" s="57"/>
      <x:c r="C2" s="57"/>
      <x:c r="D2" s="57"/>
      <x:c r="E2" s="57"/>
    </x:row>
    <x:row r="5" ht="25" customHeight="1">
      <x:c r="A5" s="58" t="str">
        <x:v>Asama</x:v>
      </x:c>
      <x:c r="B5" s="58" t="str">
        <x:v>Yontem</x:v>
      </x:c>
      <x:c r="C5" s="58" t="str">
        <x:v>Girdi</x:v>
      </x:c>
      <x:c r="D5" s="58" t="str">
        <x:v>Cikti</x:v>
      </x:c>
      <x:c r="E5" s="58" t="str">
        <x:v>Minimum kanit</x:v>
      </x:c>
    </x:row>
    <x:row r="6" ht="43" customHeight="1">
      <x:c r="A6" s="50" t="str">
        <x:v>1. Reçete / tonaj</x:v>
      </x:c>
      <x:c r="B6" s="50" t="str">
        <x:v>Kütle dengesi</x:v>
      </x:c>
      <x:c r="C6" s="50" t="str">
        <x:v>RECETE kg/kg × nihai üretim</x:v>
      </x:c>
      <x:c r="D6" s="50" t="str">
        <x:v>3 sebze icin ton/yil</x:v>
      </x:c>
      <x:c r="E6" s="50" t="str">
        <x:v>Proses verimi ve pilot reçete</x:v>
      </x:c>
    </x:row>
    <x:row r="7" ht="43" customHeight="1">
      <x:c r="A7" s="50" t="str">
        <x:v>2. Bölge tarama</x:v>
      </x:c>
      <x:c r="B7" s="50" t="str">
        <x:v>Resmi il / ilce istatistikleri</x:v>
      </x:c>
      <x:c r="C7" s="50" t="str">
        <x:v>TÜİK, Tarım ve Orman ilçe raporları</x:v>
      </x:c>
      <x:c r="D7" s="50" t="str">
        <x:v>Tedarik havzasi secimi</x:v>
      </x:c>
      <x:c r="E7" s="50" t="str">
        <x:v>Ayni yilda, ayni urun sinifi</x:v>
      </x:c>
    </x:row>
    <x:row r="8" ht="43" customHeight="1">
      <x:c r="A8" s="50" t="str">
        <x:v>3. Rota mesafesi</x:v>
      </x:c>
      <x:c r="B8" s="50" t="str">
        <x:v>Agir vasita karayolu matrisi</x:v>
      </x:c>
      <x:c r="C8" s="50" t="str">
        <x:v>Tarla/depodan OSB kapisina km</x:v>
      </x:c>
      <x:c r="D8" s="50" t="str">
        <x:v>Saha rota verisi</x:v>
      </x:c>
      <x:c r="E8" s="50" t="str">
        <x:v>KGM 2026 veya harita servis teyidi</x:v>
      </x:c>
    </x:row>
    <x:row r="9" ht="43" customHeight="1">
      <x:c r="A9" s="50" t="str">
        <x:v>4. Nakliye fiyati</x:v>
      </x:c>
      <x:c r="B9" s="50" t="str">
        <x:v>Ton-km + ellecleme</x:v>
      </x:c>
      <x:c r="C9" s="50" t="str">
        <x:v>TL/ton-km, arac kapasitesi</x:v>
      </x:c>
      <x:c r="D9" s="50" t="str">
        <x:v>Sevk ve donus maliyeti</x:v>
      </x:c>
      <x:c r="E9" s="50" t="str">
        <x:v>En az 3 lojistik firma teklifi</x:v>
      </x:c>
    </x:row>
    <x:row r="10" ht="43" customHeight="1">
      <x:c r="A10" s="50" t="str">
        <x:v>5. Sebze alimi</x:v>
      </x:c>
      <x:c r="B10" s="50" t="str">
        <x:v>Dogrusal programlama (LP)</x:v>
      </x:c>
      <x:c r="C10" s="50" t="str">
        <x:v>Fiyat, kaynak limitleri, talep, km</x:v>
      </x:c>
      <x:c r="D10" s="50" t="str">
        <x:v>Kaynak–tesis ton/yil tahsisi</x:v>
      </x:c>
      <x:c r="E10" s="50" t="str">
        <x:v>Mevsimsel ve kalite limitli teklifler</x:v>
      </x:c>
    </x:row>
    <x:row r="11" ht="43" customHeight="1">
      <x:c r="A11" s="50" t="str">
        <x:v>6. Senaryo riski</x:v>
      </x:c>
      <x:c r="B11" s="50" t="str">
        <x:v>Monte Carlo / stres testi</x:v>
      </x:c>
      <x:c r="C11" s="50" t="str">
        <x:v>Fiyat, verim, ariza, talep</x:v>
      </x:c>
      <x:c r="D11" s="50" t="str">
        <x:v>Yillik maliyet dagilimi</x:v>
      </x:c>
      <x:c r="E11" s="50" t="str">
        <x:v>Cok yilli veri ve fiyat teklifi</x:v>
      </x:c>
    </x:row>
    <x:row r="12" ht="43" customHeight="1">
      <x:c r="A12" s="50" t="str">
        <x:v>7. Regresyon</x:v>
      </x:c>
      <x:c r="B12" s="50" t="str">
        <x:v>Panel / zaman serisi</x:v>
      </x:c>
      <x:c r="C12" s="50" t="str">
        <x:v>2015-2025 ilce-urun-yil verileri</x:v>
      </x:c>
      <x:c r="D12" s="50" t="str">
        <x:v>Gelecek arz / fiyat araligi</x:v>
      </x:c>
      <x:c r="E12" s="50" t="str">
        <x:v>Zaman-sirali out-of-sample kontrol</x:v>
      </x:c>
    </x:row>
    <x:row r="13" ht="43" customHeight="1">
      <x:c r="A13" s="50" t="str">
        <x:v>8. Nihai tesis secimi</x:v>
      </x:c>
      <x:c r="B13" s="50" t="str">
        <x:v>NPV / risk-altinda kâr maksimizasyonu</x:v>
      </x:c>
      <x:c r="C13" s="50" t="str">
        <x:v>Girdi + cikti lojistik + CAPEX</x:v>
      </x:c>
      <x:c r="D13" s="50" t="str">
        <x:v>Karar</x:v>
      </x:c>
      <x:c r="E13" s="50" t="str">
        <x:v>Arazi parsel teklifi + OSB izinleri</x:v>
      </x:c>
    </x:row>
  </x:sheetData>
  <x:mergeCells>
    <x:mergeCell ref="A1:E1"/>
    <x:mergeCell ref="A2:E2"/>
  </x:mergeCells>
  <x:pageMargins left="0.7" right="0.7" top="0.75" bottom="0.75" header="0.3" footer="0.3"/>
</x:worksheet>
</file>